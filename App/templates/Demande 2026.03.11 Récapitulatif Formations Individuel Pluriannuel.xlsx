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Qualite_V2000\Listes partagées\Processus P02 HSE\Sécurité\Habilitations Santé Sécurité\"/>
    </mc:Choice>
  </mc:AlternateContent>
  <bookViews>
    <workbookView xWindow="-120" yWindow="-120" windowWidth="29040" windowHeight="15720" activeTab="2"/>
  </bookViews>
  <sheets>
    <sheet name="Tables" sheetId="2" r:id="rId1"/>
    <sheet name="Liste salariés" sheetId="3" r:id="rId2"/>
    <sheet name="Liste Formations" sheetId="4" r:id="rId3"/>
    <sheet name="Formations effectuées" sheetId="5" r:id="rId4"/>
    <sheet name="Formulaire individuel" sheetId="6" r:id="rId5"/>
    <sheet name="TARDY" sheetId="37" r:id="rId6"/>
    <sheet name="CORREIA DOS SANTOS Jorge" sheetId="38" r:id="rId7"/>
    <sheet name="LORDON" sheetId="36" r:id="rId8"/>
    <sheet name="LEPOLARD B" sheetId="35" r:id="rId9"/>
    <sheet name="MENDRIBIL" sheetId="34" r:id="rId10"/>
    <sheet name="SIMON Th" sheetId="33" r:id="rId11"/>
    <sheet name="MARQUES" sheetId="32" r:id="rId12"/>
    <sheet name="PICOT" sheetId="30" r:id="rId13"/>
    <sheet name="BERCAITS" sheetId="31" r:id="rId14"/>
    <sheet name="DAVIES" sheetId="29" r:id="rId15"/>
    <sheet name="PEREZ" sheetId="28" r:id="rId16"/>
    <sheet name="BIDONDO M" sheetId="27" r:id="rId17"/>
    <sheet name="MILAGE" sheetId="26" r:id="rId18"/>
    <sheet name="CAZENAVE" sheetId="25" r:id="rId19"/>
    <sheet name="VERGE O" sheetId="23" r:id="rId20"/>
    <sheet name="MOUSTROUS" sheetId="22" r:id="rId21"/>
    <sheet name="VASSEUR" sheetId="21" r:id="rId22"/>
    <sheet name="COUCHINAVE E" sheetId="20" r:id="rId23"/>
    <sheet name="CAMPANE" sheetId="19" r:id="rId24"/>
    <sheet name="RICE" sheetId="18" r:id="rId25"/>
    <sheet name="GONOT" sheetId="17" r:id="rId26"/>
    <sheet name="JOUMAH " sheetId="7" r:id="rId27"/>
    <sheet name="BIDONDO P" sheetId="8" r:id="rId28"/>
    <sheet name="SARALEGUI " sheetId="9" r:id="rId29"/>
    <sheet name="BRANKAER" sheetId="10" r:id="rId30"/>
    <sheet name="BEHEREGARAY" sheetId="11" r:id="rId31"/>
    <sheet name="SICRE" sheetId="12" r:id="rId32"/>
    <sheet name="DELGADO" sheetId="13" r:id="rId33"/>
    <sheet name="CORDANI" sheetId="14" r:id="rId34"/>
    <sheet name="ETCHEVERRY F" sheetId="15" r:id="rId35"/>
    <sheet name="AGUERRE" sheetId="16" r:id="rId36"/>
  </sheets>
  <definedNames>
    <definedName name="_xlnm._FilterDatabase" localSheetId="3" hidden="1">'Formations effectuées'!$A$6:$I$1691</definedName>
    <definedName name="_xlnm.Print_Titles" localSheetId="35">AGUERRE!$10:$12</definedName>
    <definedName name="_xlnm.Print_Titles" localSheetId="30">BEHEREGARAY!$10:$12</definedName>
    <definedName name="_xlnm.Print_Titles" localSheetId="13">BERCAITS!$10:$12</definedName>
    <definedName name="_xlnm.Print_Titles" localSheetId="16">'BIDONDO M'!$10:$12</definedName>
    <definedName name="_xlnm.Print_Titles" localSheetId="27">'BIDONDO P'!$10:$12</definedName>
    <definedName name="_xlnm.Print_Titles" localSheetId="29">BRANKAER!$10:$12</definedName>
    <definedName name="_xlnm.Print_Titles" localSheetId="23">CAMPANE!$10:$12</definedName>
    <definedName name="_xlnm.Print_Titles" localSheetId="18">CAZENAVE!$10:$12</definedName>
    <definedName name="_xlnm.Print_Titles" localSheetId="33">CORDANI!$10:$12</definedName>
    <definedName name="_xlnm.Print_Titles" localSheetId="6">'CORREIA DOS SANTOS Jorge'!$10:$12</definedName>
    <definedName name="_xlnm.Print_Titles" localSheetId="22">'COUCHINAVE E'!$10:$12</definedName>
    <definedName name="_xlnm.Print_Titles" localSheetId="14">DAVIES!$10:$12</definedName>
    <definedName name="_xlnm.Print_Titles" localSheetId="32">DELGADO!$10:$12</definedName>
    <definedName name="_xlnm.Print_Titles" localSheetId="34">'ETCHEVERRY F'!$10:$12</definedName>
    <definedName name="_xlnm.Print_Titles" localSheetId="25">GONOT!$10:$12</definedName>
    <definedName name="_xlnm.Print_Titles" localSheetId="8">'LEPOLARD B'!$10:$12</definedName>
    <definedName name="_xlnm.Print_Titles" localSheetId="7">LORDON!$10:$12</definedName>
    <definedName name="_xlnm.Print_Titles" localSheetId="11">MARQUES!$10:$12</definedName>
    <definedName name="_xlnm.Print_Titles" localSheetId="9">MENDRIBIL!$10:$12</definedName>
    <definedName name="_xlnm.Print_Titles" localSheetId="17">MILAGE!$10:$12</definedName>
    <definedName name="_xlnm.Print_Titles" localSheetId="20">MOUSTROUS!$10:$12</definedName>
    <definedName name="_xlnm.Print_Titles" localSheetId="15">PEREZ!$10:$12</definedName>
    <definedName name="_xlnm.Print_Titles" localSheetId="12">PICOT!$10:$12</definedName>
    <definedName name="_xlnm.Print_Titles" localSheetId="24">RICE!$10:$12</definedName>
    <definedName name="_xlnm.Print_Titles" localSheetId="28">'SARALEGUI '!$10:$12</definedName>
    <definedName name="_xlnm.Print_Titles" localSheetId="31">SICRE!$10:$12</definedName>
    <definedName name="_xlnm.Print_Titles" localSheetId="10">'SIMON Th'!$10:$12</definedName>
    <definedName name="_xlnm.Print_Titles" localSheetId="5">TARDY!$10:$12</definedName>
    <definedName name="_xlnm.Print_Titles" localSheetId="21">VASSEUR!$10:$12</definedName>
    <definedName name="_xlnm.Print_Titles" localSheetId="19">'VERGE O'!$10:$12</definedName>
    <definedName name="_xlnm.Print_Area" localSheetId="3">'Formations effectuées'!$A$1018:$H$1027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38" l="1"/>
  <c r="B1" i="27"/>
  <c r="R27" i="38" l="1"/>
  <c r="R25" i="38"/>
  <c r="R24" i="38"/>
  <c r="R22" i="38"/>
  <c r="R21" i="38"/>
  <c r="R20" i="38"/>
  <c r="R19" i="38"/>
  <c r="R18" i="38"/>
  <c r="R17" i="38"/>
  <c r="R16" i="38"/>
  <c r="R15" i="38"/>
  <c r="R14" i="38"/>
  <c r="B1" i="6"/>
  <c r="E7" i="38"/>
  <c r="E6" i="38"/>
  <c r="G845" i="5" l="1"/>
  <c r="G1616" i="5" l="1"/>
  <c r="G1615" i="5"/>
  <c r="G1614" i="5"/>
  <c r="G1613" i="5"/>
  <c r="G1608" i="5"/>
  <c r="G1607" i="5"/>
  <c r="G1606" i="5"/>
  <c r="G1605" i="5"/>
  <c r="G1604" i="5"/>
  <c r="G1603" i="5"/>
  <c r="G1602" i="5"/>
  <c r="G1601" i="5"/>
  <c r="G1600" i="5"/>
  <c r="G1599" i="5"/>
  <c r="G1597" i="5"/>
  <c r="G1593" i="5"/>
  <c r="G1592" i="5"/>
  <c r="G1591" i="5"/>
  <c r="G1590" i="5"/>
  <c r="G1578" i="5"/>
  <c r="G1579" i="5"/>
  <c r="G1580" i="5"/>
  <c r="G1581" i="5"/>
  <c r="G1582" i="5"/>
  <c r="G1583" i="5"/>
  <c r="G1584" i="5"/>
  <c r="G1585" i="5"/>
  <c r="G1575" i="5"/>
  <c r="G1563" i="5"/>
  <c r="G1564" i="5"/>
  <c r="G1565" i="5"/>
  <c r="G1566" i="5"/>
  <c r="G1567" i="5"/>
  <c r="G1568" i="5"/>
  <c r="G1569" i="5"/>
  <c r="G1570" i="5"/>
  <c r="G1571" i="5"/>
  <c r="G1572" i="5"/>
  <c r="G1489" i="5"/>
  <c r="G1487" i="5"/>
  <c r="G1486" i="5"/>
  <c r="G1466" i="5"/>
  <c r="G1465" i="5"/>
  <c r="G1464" i="5"/>
  <c r="G1463" i="5"/>
  <c r="G1462" i="5"/>
  <c r="G1458" i="5"/>
  <c r="G1457" i="5"/>
  <c r="G1456" i="5"/>
  <c r="G1455" i="5"/>
  <c r="G1454" i="5"/>
  <c r="G1453" i="5"/>
  <c r="G1452" i="5"/>
  <c r="G1441" i="5"/>
  <c r="G1440" i="5"/>
  <c r="G1439" i="5"/>
  <c r="G1438" i="5"/>
  <c r="G1394" i="5"/>
  <c r="G1395" i="5"/>
  <c r="G1396" i="5"/>
  <c r="G1397" i="5"/>
  <c r="G1398" i="5"/>
  <c r="G1399" i="5"/>
  <c r="G1400" i="5"/>
  <c r="G1401" i="5"/>
  <c r="G1402" i="5"/>
  <c r="G1383" i="5"/>
  <c r="G1376" i="5"/>
  <c r="G1377" i="5"/>
  <c r="G1378" i="5"/>
  <c r="G1379" i="5"/>
  <c r="G1380" i="5"/>
  <c r="G1381" i="5"/>
  <c r="G1382" i="5"/>
  <c r="G1384" i="5"/>
  <c r="G1385" i="5"/>
  <c r="G1386" i="5"/>
  <c r="G1387" i="5"/>
  <c r="G1388" i="5"/>
  <c r="G1389" i="5"/>
  <c r="G1390" i="5"/>
  <c r="G1391" i="5"/>
  <c r="G1392" i="5"/>
  <c r="G1393" i="5"/>
  <c r="G1403" i="5"/>
  <c r="G1404" i="5"/>
  <c r="G1363" i="5" l="1"/>
  <c r="G1364" i="5"/>
  <c r="G1365" i="5"/>
  <c r="G1366" i="5"/>
  <c r="G1367" i="5"/>
  <c r="G1368" i="5"/>
  <c r="G1369" i="5"/>
  <c r="G1356" i="5"/>
  <c r="G1355" i="5"/>
  <c r="G1354" i="5"/>
  <c r="G1340" i="5"/>
  <c r="G1341" i="5"/>
  <c r="G1342" i="5"/>
  <c r="G1343" i="5"/>
  <c r="G1344" i="5"/>
  <c r="G1345" i="5"/>
  <c r="G1346" i="5"/>
  <c r="G1330" i="5"/>
  <c r="G1331" i="5"/>
  <c r="G1328" i="5"/>
  <c r="G1329" i="5"/>
  <c r="G1332" i="5"/>
  <c r="G1333" i="5"/>
  <c r="G1334" i="5"/>
  <c r="G1323" i="5"/>
  <c r="G1324" i="5"/>
  <c r="G1325" i="5"/>
  <c r="G1326" i="5"/>
  <c r="G1327" i="5"/>
  <c r="G1314" i="5"/>
  <c r="G1315" i="5"/>
  <c r="G1316" i="5"/>
  <c r="G1317" i="5"/>
  <c r="G1318" i="5"/>
  <c r="G1319" i="5"/>
  <c r="G1320" i="5"/>
  <c r="G1321" i="5"/>
  <c r="G1322" i="5"/>
  <c r="G1307" i="5"/>
  <c r="G1308" i="5"/>
  <c r="G1309" i="5"/>
  <c r="G1310" i="5"/>
  <c r="G1311" i="5"/>
  <c r="G1312" i="5"/>
  <c r="G1313" i="5"/>
  <c r="G1254" i="5" l="1"/>
  <c r="G1255" i="5"/>
  <c r="G1256" i="5"/>
  <c r="G1257" i="5"/>
  <c r="G1258" i="5"/>
  <c r="G1253" i="5"/>
  <c r="G1245" i="5"/>
  <c r="G1246" i="5"/>
  <c r="G1247" i="5"/>
  <c r="G1248" i="5"/>
  <c r="G1249" i="5"/>
  <c r="G1250" i="5"/>
  <c r="G1244" i="5"/>
  <c r="G1235" i="5"/>
  <c r="G1234" i="5"/>
  <c r="G1231" i="5"/>
  <c r="G1232" i="5"/>
  <c r="G1233" i="5"/>
  <c r="G1236" i="5"/>
  <c r="G1225" i="5"/>
  <c r="G1226" i="5"/>
  <c r="G1227" i="5"/>
  <c r="G1228" i="5"/>
  <c r="G1229" i="5"/>
  <c r="G1230" i="5"/>
  <c r="G1219" i="5"/>
  <c r="G1220" i="5"/>
  <c r="G1221" i="5"/>
  <c r="G1222" i="5"/>
  <c r="G1223" i="5"/>
  <c r="G1224" i="5"/>
  <c r="G1218" i="5"/>
  <c r="G1206" i="5"/>
  <c r="G1205" i="5"/>
  <c r="G1204" i="5"/>
  <c r="G1203" i="5"/>
  <c r="G1202" i="5"/>
  <c r="G1187" i="5"/>
  <c r="G1183" i="5"/>
  <c r="G1184" i="5"/>
  <c r="G1185" i="5"/>
  <c r="G1186" i="5"/>
  <c r="G1179" i="5"/>
  <c r="G1180" i="5"/>
  <c r="G1181" i="5"/>
  <c r="G1182" i="5"/>
  <c r="G1178" i="5"/>
  <c r="G1170" i="5"/>
  <c r="G1171" i="5"/>
  <c r="G1169" i="5"/>
  <c r="G1154" i="5"/>
  <c r="G1153" i="5"/>
  <c r="G1152" i="5"/>
  <c r="G1151" i="5"/>
  <c r="G1150" i="5"/>
  <c r="G1149" i="5"/>
  <c r="G1148" i="5"/>
  <c r="G1147" i="5"/>
  <c r="G1129" i="5"/>
  <c r="G1130" i="5"/>
  <c r="G1128" i="5"/>
  <c r="G1121" i="5"/>
  <c r="G1120" i="5"/>
  <c r="G1115" i="5"/>
  <c r="G1116" i="5"/>
  <c r="G1114" i="5"/>
  <c r="G1102" i="5"/>
  <c r="G1100" i="5"/>
  <c r="G1101" i="5"/>
  <c r="G1097" i="5"/>
  <c r="G1098" i="5"/>
  <c r="G1099" i="5"/>
  <c r="G1094" i="5"/>
  <c r="G1095" i="5"/>
  <c r="G1096" i="5"/>
  <c r="G1093" i="5"/>
  <c r="G1079" i="5"/>
  <c r="G1078" i="5"/>
  <c r="G1077" i="5"/>
  <c r="G1076" i="5"/>
  <c r="G1075" i="5"/>
  <c r="G1069" i="5"/>
  <c r="G1070" i="5"/>
  <c r="G1071" i="5"/>
  <c r="G1072" i="5"/>
  <c r="G1073" i="5"/>
  <c r="G1068" i="5"/>
  <c r="G1062" i="5"/>
  <c r="G1063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46" i="5"/>
  <c r="G1020" i="5"/>
  <c r="G1021" i="5"/>
  <c r="G1022" i="5"/>
  <c r="G1019" i="5"/>
  <c r="G1014" i="5"/>
  <c r="G1013" i="5"/>
  <c r="G1008" i="5"/>
  <c r="G1009" i="5"/>
  <c r="G1010" i="5"/>
  <c r="G1011" i="5"/>
  <c r="G1005" i="5"/>
  <c r="G1006" i="5"/>
  <c r="G1007" i="5"/>
  <c r="G1002" i="5"/>
  <c r="G1003" i="5"/>
  <c r="G1004" i="5"/>
  <c r="G995" i="5"/>
  <c r="G996" i="5"/>
  <c r="G997" i="5"/>
  <c r="G998" i="5"/>
  <c r="G999" i="5"/>
  <c r="G988" i="5"/>
  <c r="G989" i="5"/>
  <c r="G990" i="5"/>
  <c r="G991" i="5"/>
  <c r="G992" i="5"/>
  <c r="G993" i="5"/>
  <c r="G994" i="5"/>
  <c r="G1000" i="5"/>
  <c r="G1001" i="5"/>
  <c r="G982" i="5" l="1"/>
  <c r="G983" i="5"/>
  <c r="G984" i="5"/>
  <c r="G985" i="5"/>
  <c r="G986" i="5"/>
  <c r="G987" i="5"/>
  <c r="G972" i="5"/>
  <c r="G973" i="5"/>
  <c r="G974" i="5"/>
  <c r="G975" i="5"/>
  <c r="G976" i="5"/>
  <c r="G977" i="5"/>
  <c r="G978" i="5"/>
  <c r="G979" i="5"/>
  <c r="G966" i="5"/>
  <c r="G967" i="5"/>
  <c r="G968" i="5"/>
  <c r="G969" i="5"/>
  <c r="G970" i="5"/>
  <c r="G971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50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11" i="5"/>
  <c r="G912" i="5"/>
  <c r="G910" i="5"/>
  <c r="G888" i="5"/>
  <c r="G886" i="5"/>
  <c r="G876" i="5"/>
  <c r="G877" i="5"/>
  <c r="G878" i="5"/>
  <c r="G879" i="5"/>
  <c r="G875" i="5"/>
  <c r="G874" i="5"/>
  <c r="G837" i="5"/>
  <c r="G834" i="5"/>
  <c r="G835" i="5"/>
  <c r="G836" i="5"/>
  <c r="G829" i="5"/>
  <c r="G830" i="5"/>
  <c r="G831" i="5"/>
  <c r="G832" i="5"/>
  <c r="G833" i="5"/>
  <c r="G824" i="5"/>
  <c r="G825" i="5"/>
  <c r="G826" i="5"/>
  <c r="G827" i="5"/>
  <c r="G828" i="5"/>
  <c r="G816" i="5"/>
  <c r="G817" i="5"/>
  <c r="G818" i="5"/>
  <c r="G819" i="5"/>
  <c r="G820" i="5"/>
  <c r="G821" i="5"/>
  <c r="G822" i="5"/>
  <c r="G823" i="5"/>
  <c r="G815" i="5"/>
  <c r="G870" i="5"/>
  <c r="G867" i="5"/>
  <c r="G868" i="5"/>
  <c r="G869" i="5"/>
  <c r="G866" i="5"/>
  <c r="G859" i="5"/>
  <c r="G858" i="5"/>
  <c r="G851" i="5"/>
  <c r="G852" i="5"/>
  <c r="G848" i="5"/>
  <c r="G849" i="5"/>
  <c r="G850" i="5"/>
  <c r="G847" i="5"/>
  <c r="G747" i="5"/>
  <c r="G635" i="5"/>
  <c r="G227" i="5"/>
  <c r="H3" i="5" l="1"/>
  <c r="G737" i="5"/>
  <c r="G1337" i="5" l="1"/>
  <c r="G881" i="5"/>
  <c r="G914" i="5"/>
  <c r="G259" i="5"/>
  <c r="G1348" i="5"/>
  <c r="G1347" i="5"/>
  <c r="E7" i="37" l="1"/>
  <c r="E6" i="37"/>
  <c r="E7" i="36"/>
  <c r="E6" i="36"/>
  <c r="E7" i="35"/>
  <c r="E6" i="35"/>
  <c r="E7" i="34" l="1"/>
  <c r="E6" i="34"/>
  <c r="E7" i="33"/>
  <c r="E6" i="33"/>
  <c r="E7" i="32"/>
  <c r="E6" i="32"/>
  <c r="E7" i="31"/>
  <c r="E6" i="31" l="1"/>
  <c r="G1305" i="5"/>
  <c r="G1298" i="5"/>
  <c r="G1299" i="5"/>
  <c r="G1300" i="5"/>
  <c r="G1301" i="5"/>
  <c r="G1302" i="5"/>
  <c r="G1303" i="5"/>
  <c r="G1304" i="5"/>
  <c r="C7" i="30"/>
  <c r="C6" i="30"/>
  <c r="C5" i="30"/>
  <c r="B1" i="30"/>
  <c r="C7" i="29"/>
  <c r="C6" i="29"/>
  <c r="C5" i="29"/>
  <c r="B1" i="29"/>
  <c r="G1288" i="5"/>
  <c r="G1289" i="5"/>
  <c r="G1290" i="5"/>
  <c r="G1291" i="5"/>
  <c r="G1292" i="5"/>
  <c r="G1293" i="5"/>
  <c r="G1294" i="5"/>
  <c r="G1282" i="5"/>
  <c r="G1283" i="5"/>
  <c r="G1284" i="5"/>
  <c r="G1285" i="5"/>
  <c r="G1286" i="5"/>
  <c r="G1287" i="5"/>
  <c r="G1275" i="5"/>
  <c r="G1276" i="5"/>
  <c r="G1277" i="5"/>
  <c r="G1278" i="5"/>
  <c r="G1279" i="5"/>
  <c r="G1280" i="5"/>
  <c r="G1281" i="5"/>
  <c r="G1264" i="5"/>
  <c r="G1265" i="5"/>
  <c r="G1266" i="5"/>
  <c r="G1267" i="5"/>
  <c r="G1268" i="5"/>
  <c r="G1269" i="5"/>
  <c r="G1270" i="5"/>
  <c r="G1271" i="5"/>
  <c r="G1272" i="5"/>
  <c r="G1273" i="5"/>
  <c r="G1274" i="5"/>
  <c r="G1263" i="5"/>
  <c r="C7" i="28"/>
  <c r="C6" i="28"/>
  <c r="C5" i="28"/>
  <c r="B1" i="28"/>
  <c r="G306" i="5"/>
  <c r="G307" i="5"/>
  <c r="C7" i="27"/>
  <c r="C6" i="27"/>
  <c r="C5" i="27"/>
  <c r="G1144" i="5"/>
  <c r="G1143" i="5"/>
  <c r="G1142" i="5"/>
  <c r="G1141" i="5"/>
  <c r="G1140" i="5"/>
  <c r="G1139" i="5"/>
  <c r="G1138" i="5"/>
  <c r="G1137" i="5"/>
  <c r="G1136" i="5"/>
  <c r="G1135" i="5"/>
  <c r="C7" i="26"/>
  <c r="C6" i="26"/>
  <c r="C5" i="26"/>
  <c r="B1" i="26"/>
  <c r="C7" i="25"/>
  <c r="C6" i="25"/>
  <c r="C5" i="25"/>
  <c r="B1" i="25"/>
  <c r="G1690" i="5"/>
  <c r="G1691" i="5"/>
  <c r="G1681" i="5"/>
  <c r="G1682" i="5"/>
  <c r="G1683" i="5"/>
  <c r="G1684" i="5"/>
  <c r="G1685" i="5"/>
  <c r="G1686" i="5"/>
  <c r="G1687" i="5"/>
  <c r="G1688" i="5"/>
  <c r="G1689" i="5"/>
  <c r="G1673" i="5"/>
  <c r="G1674" i="5"/>
  <c r="G1675" i="5"/>
  <c r="G1676" i="5"/>
  <c r="G1677" i="5"/>
  <c r="G1678" i="5"/>
  <c r="G1679" i="5"/>
  <c r="G1680" i="5"/>
  <c r="G1672" i="5"/>
  <c r="G1670" i="5"/>
  <c r="C7" i="23"/>
  <c r="C6" i="23"/>
  <c r="C5" i="23"/>
  <c r="B1" i="23"/>
  <c r="G1163" i="5"/>
  <c r="G1192" i="5"/>
  <c r="G1193" i="5"/>
  <c r="G1194" i="5"/>
  <c r="G1195" i="5"/>
  <c r="G1196" i="5"/>
  <c r="G1197" i="5"/>
  <c r="G1198" i="5"/>
  <c r="G1199" i="5"/>
  <c r="G1200" i="5"/>
  <c r="C7" i="22"/>
  <c r="C6" i="22"/>
  <c r="C5" i="22"/>
  <c r="B1" i="22"/>
  <c r="G1665" i="5"/>
  <c r="G1664" i="5"/>
  <c r="G1666" i="5"/>
  <c r="G1667" i="5"/>
  <c r="G1660" i="5"/>
  <c r="G1661" i="5"/>
  <c r="G1662" i="5"/>
  <c r="G1663" i="5"/>
  <c r="G1668" i="5"/>
  <c r="G1669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45" i="5"/>
  <c r="G1646" i="5"/>
  <c r="G1647" i="5"/>
  <c r="G1638" i="5"/>
  <c r="G1639" i="5"/>
  <c r="G1640" i="5"/>
  <c r="G1641" i="5"/>
  <c r="G1642" i="5"/>
  <c r="G1643" i="5"/>
  <c r="G1644" i="5"/>
  <c r="G1631" i="5"/>
  <c r="G1632" i="5"/>
  <c r="G1633" i="5"/>
  <c r="G1634" i="5"/>
  <c r="G1635" i="5"/>
  <c r="G1636" i="5"/>
  <c r="G1637" i="5"/>
  <c r="G1630" i="5"/>
  <c r="C7" i="21"/>
  <c r="C6" i="21"/>
  <c r="C5" i="21"/>
  <c r="B1" i="21"/>
  <c r="C7" i="20"/>
  <c r="C6" i="20"/>
  <c r="C5" i="20"/>
  <c r="B1" i="20"/>
  <c r="C7" i="19"/>
  <c r="C6" i="19"/>
  <c r="C5" i="19"/>
  <c r="B1" i="19"/>
  <c r="G1449" i="5"/>
  <c r="G1444" i="5"/>
  <c r="G1445" i="5"/>
  <c r="G1446" i="5"/>
  <c r="G1447" i="5"/>
  <c r="G1448" i="5"/>
  <c r="C7" i="18"/>
  <c r="C6" i="18"/>
  <c r="C5" i="18"/>
  <c r="B1" i="18"/>
  <c r="G62" i="5"/>
  <c r="G61" i="5"/>
  <c r="G53" i="5"/>
  <c r="G54" i="5"/>
  <c r="G55" i="5"/>
  <c r="G56" i="5"/>
  <c r="G57" i="5"/>
  <c r="G58" i="5"/>
  <c r="G59" i="5"/>
  <c r="G60" i="5"/>
  <c r="G46" i="5"/>
  <c r="G47" i="5"/>
  <c r="G48" i="5"/>
  <c r="G49" i="5"/>
  <c r="G50" i="5"/>
  <c r="G51" i="5"/>
  <c r="G52" i="5"/>
  <c r="G45" i="5"/>
  <c r="C7" i="17"/>
  <c r="C6" i="17"/>
  <c r="C5" i="17"/>
  <c r="B1" i="17"/>
  <c r="C7" i="16"/>
  <c r="C6" i="16"/>
  <c r="C5" i="16"/>
  <c r="B1" i="16"/>
  <c r="C7" i="15"/>
  <c r="C6" i="15"/>
  <c r="C5" i="15"/>
  <c r="B1" i="15"/>
  <c r="C7" i="14"/>
  <c r="C6" i="14"/>
  <c r="C5" i="14"/>
  <c r="B1" i="14"/>
  <c r="C7" i="13"/>
  <c r="C6" i="13"/>
  <c r="C5" i="13"/>
  <c r="B1" i="13"/>
  <c r="G1548" i="5"/>
  <c r="G1549" i="5"/>
  <c r="G1536" i="5"/>
  <c r="G1535" i="5"/>
  <c r="G1550" i="5"/>
  <c r="G1551" i="5"/>
  <c r="G1552" i="5"/>
  <c r="G1553" i="5"/>
  <c r="G1554" i="5"/>
  <c r="G1555" i="5"/>
  <c r="G1546" i="5"/>
  <c r="G1547" i="5"/>
  <c r="G1533" i="5"/>
  <c r="G1534" i="5"/>
  <c r="G1537" i="5"/>
  <c r="G1538" i="5"/>
  <c r="G1539" i="5"/>
  <c r="G1540" i="5"/>
  <c r="G1541" i="5"/>
  <c r="G1542" i="5"/>
  <c r="G1543" i="5"/>
  <c r="G1544" i="5"/>
  <c r="G1524" i="5"/>
  <c r="G1525" i="5"/>
  <c r="G1526" i="5"/>
  <c r="G1527" i="5"/>
  <c r="G1528" i="5"/>
  <c r="G1529" i="5"/>
  <c r="G1530" i="5"/>
  <c r="G1531" i="5"/>
  <c r="G1532" i="5"/>
  <c r="G1545" i="5"/>
  <c r="G1517" i="5"/>
  <c r="G1518" i="5"/>
  <c r="G1519" i="5"/>
  <c r="G1520" i="5"/>
  <c r="G1521" i="5"/>
  <c r="G1522" i="5"/>
  <c r="G1523" i="5"/>
  <c r="G1511" i="5"/>
  <c r="G1512" i="5"/>
  <c r="G1513" i="5"/>
  <c r="G1514" i="5"/>
  <c r="G1515" i="5"/>
  <c r="G1516" i="5"/>
  <c r="G1509" i="5"/>
  <c r="G1499" i="5"/>
  <c r="G1500" i="5"/>
  <c r="G1501" i="5"/>
  <c r="G1502" i="5"/>
  <c r="G1503" i="5"/>
  <c r="G1504" i="5"/>
  <c r="G1505" i="5"/>
  <c r="G1506" i="5"/>
  <c r="G1507" i="5"/>
  <c r="G1508" i="5"/>
  <c r="G1510" i="5"/>
  <c r="C7" i="12"/>
  <c r="C6" i="12"/>
  <c r="C5" i="12"/>
  <c r="B1" i="12"/>
  <c r="C7" i="11"/>
  <c r="C6" i="11"/>
  <c r="C5" i="11"/>
  <c r="B1" i="11"/>
  <c r="G381" i="5"/>
  <c r="C7" i="10"/>
  <c r="C6" i="10"/>
  <c r="C5" i="10"/>
  <c r="B1" i="10"/>
  <c r="G1482" i="5"/>
  <c r="G1479" i="5"/>
  <c r="G1480" i="5"/>
  <c r="G1481" i="5"/>
  <c r="G1483" i="5"/>
  <c r="G1484" i="5"/>
  <c r="G1485" i="5"/>
  <c r="G1478" i="5"/>
  <c r="G1477" i="5"/>
  <c r="G1476" i="5"/>
  <c r="G1475" i="5"/>
  <c r="G1474" i="5"/>
  <c r="G1473" i="5"/>
  <c r="G1472" i="5"/>
  <c r="G1471" i="5"/>
  <c r="G1470" i="5"/>
  <c r="C7" i="9"/>
  <c r="C6" i="9"/>
  <c r="C5" i="9"/>
  <c r="B1" i="9"/>
  <c r="E7" i="28" l="1"/>
  <c r="E7" i="25"/>
  <c r="E7" i="29"/>
  <c r="E7" i="30"/>
  <c r="E7" i="12"/>
  <c r="E7" i="26"/>
  <c r="E6" i="17"/>
  <c r="E6" i="20"/>
  <c r="E7" i="14"/>
  <c r="E7" i="13"/>
  <c r="E7" i="15"/>
  <c r="E7" i="19"/>
  <c r="E7" i="21"/>
  <c r="E7" i="10"/>
  <c r="E7" i="18"/>
  <c r="E7" i="23"/>
  <c r="E6" i="30"/>
  <c r="E6" i="29"/>
  <c r="E6" i="28"/>
  <c r="E7" i="27"/>
  <c r="E6" i="27"/>
  <c r="E6" i="26"/>
  <c r="E6" i="25"/>
  <c r="E6" i="23"/>
  <c r="E7" i="22"/>
  <c r="E6" i="22"/>
  <c r="E6" i="21"/>
  <c r="E7" i="20"/>
  <c r="E6" i="19"/>
  <c r="E6" i="18"/>
  <c r="E7" i="17"/>
  <c r="E7" i="16"/>
  <c r="E6" i="16"/>
  <c r="E6" i="15"/>
  <c r="E6" i="14"/>
  <c r="E6" i="13"/>
  <c r="E6" i="12"/>
  <c r="E7" i="11"/>
  <c r="E6" i="11"/>
  <c r="E6" i="10"/>
  <c r="E7" i="9"/>
  <c r="E6" i="9"/>
  <c r="C7" i="8" l="1"/>
  <c r="C6" i="8"/>
  <c r="C5" i="8"/>
  <c r="B1" i="8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C7" i="7"/>
  <c r="C6" i="7"/>
  <c r="C5" i="7"/>
  <c r="B1" i="7"/>
  <c r="E6" i="8" l="1"/>
  <c r="E7" i="7"/>
  <c r="E7" i="8"/>
  <c r="E6" i="7"/>
  <c r="G1586" i="5" l="1"/>
  <c r="G1556" i="5"/>
  <c r="G1408" i="5"/>
  <c r="G1210" i="5"/>
  <c r="G1080" i="5"/>
  <c r="G913" i="5"/>
  <c r="G842" i="5"/>
  <c r="G452" i="5"/>
  <c r="H2" i="5" l="1"/>
  <c r="G784" i="5" l="1"/>
  <c r="G1373" i="5" l="1"/>
  <c r="G1064" i="5"/>
  <c r="G1211" i="5"/>
  <c r="G453" i="5"/>
  <c r="G1409" i="5"/>
  <c r="G168" i="5" l="1"/>
  <c r="G478" i="5"/>
  <c r="G1573" i="5"/>
  <c r="G1574" i="5"/>
  <c r="G1576" i="5"/>
  <c r="G1240" i="5" l="1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20" i="5"/>
  <c r="G121" i="5"/>
  <c r="G122" i="5"/>
  <c r="G123" i="5"/>
  <c r="G124" i="5"/>
  <c r="G125" i="5"/>
  <c r="G126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7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6" i="5"/>
  <c r="G207" i="5"/>
  <c r="G211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8" i="5"/>
  <c r="G229" i="5"/>
  <c r="G230" i="5"/>
  <c r="G231" i="5"/>
  <c r="G232" i="5"/>
  <c r="G233" i="5"/>
  <c r="G235" i="5"/>
  <c r="G236" i="5"/>
  <c r="G237" i="5"/>
  <c r="G238" i="5"/>
  <c r="G243" i="5"/>
  <c r="G244" i="5"/>
  <c r="G247" i="5"/>
  <c r="G248" i="5"/>
  <c r="G249" i="5"/>
  <c r="G250" i="5"/>
  <c r="G252" i="5"/>
  <c r="G253" i="5"/>
  <c r="G254" i="5"/>
  <c r="G255" i="5"/>
  <c r="G256" i="5"/>
  <c r="G257" i="5"/>
  <c r="G260" i="5"/>
  <c r="G261" i="5"/>
  <c r="G262" i="5"/>
  <c r="G263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2" i="5"/>
  <c r="G303" i="5"/>
  <c r="G304" i="5"/>
  <c r="G305" i="5"/>
  <c r="G308" i="5"/>
  <c r="G309" i="5"/>
  <c r="G310" i="5"/>
  <c r="G311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8" i="5"/>
  <c r="G371" i="5"/>
  <c r="G372" i="5"/>
  <c r="G373" i="5"/>
  <c r="G374" i="5"/>
  <c r="G375" i="5"/>
  <c r="G376" i="5"/>
  <c r="G377" i="5"/>
  <c r="G378" i="5"/>
  <c r="G379" i="5"/>
  <c r="G380" i="5"/>
  <c r="G382" i="5"/>
  <c r="G384" i="5"/>
  <c r="G385" i="5"/>
  <c r="G386" i="5"/>
  <c r="G387" i="5"/>
  <c r="G391" i="5"/>
  <c r="G392" i="5"/>
  <c r="G393" i="5"/>
  <c r="G394" i="5"/>
  <c r="G395" i="5"/>
  <c r="G400" i="5"/>
  <c r="G401" i="5"/>
  <c r="G402" i="5"/>
  <c r="G403" i="5"/>
  <c r="G404" i="5"/>
  <c r="G405" i="5"/>
  <c r="G406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9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82" i="5"/>
  <c r="G483" i="5"/>
  <c r="G484" i="5"/>
  <c r="G485" i="5"/>
  <c r="G486" i="5"/>
  <c r="G487" i="5"/>
  <c r="G488" i="5"/>
  <c r="G489" i="5"/>
  <c r="G490" i="5"/>
  <c r="G492" i="5"/>
  <c r="G493" i="5"/>
  <c r="G495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9" i="5"/>
  <c r="G560" i="5"/>
  <c r="G561" i="5"/>
  <c r="G562" i="5"/>
  <c r="G563" i="5"/>
  <c r="G564" i="5"/>
  <c r="G565" i="5"/>
  <c r="G566" i="5"/>
  <c r="G567" i="5"/>
  <c r="G568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4" i="5"/>
  <c r="G615" i="5"/>
  <c r="G616" i="5"/>
  <c r="G617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9" i="5"/>
  <c r="G640" i="5"/>
  <c r="G641" i="5"/>
  <c r="G642" i="5"/>
  <c r="G643" i="5"/>
  <c r="G646" i="5"/>
  <c r="G647" i="5"/>
  <c r="G648" i="5"/>
  <c r="G651" i="5"/>
  <c r="G652" i="5"/>
  <c r="G654" i="5"/>
  <c r="G655" i="5"/>
  <c r="G656" i="5"/>
  <c r="G657" i="5"/>
  <c r="G658" i="5"/>
  <c r="G662" i="5"/>
  <c r="G664" i="5"/>
  <c r="G665" i="5"/>
  <c r="G669" i="5"/>
  <c r="G670" i="5"/>
  <c r="G671" i="5"/>
  <c r="G672" i="5"/>
  <c r="G673" i="5"/>
  <c r="G675" i="5"/>
  <c r="G676" i="5"/>
  <c r="G677" i="5"/>
  <c r="G678" i="5"/>
  <c r="G679" i="5"/>
  <c r="G680" i="5"/>
  <c r="G681" i="5"/>
  <c r="G683" i="5"/>
  <c r="G685" i="5"/>
  <c r="G686" i="5"/>
  <c r="G687" i="5"/>
  <c r="G693" i="5"/>
  <c r="G694" i="5"/>
  <c r="G695" i="5"/>
  <c r="G697" i="5"/>
  <c r="G698" i="5"/>
  <c r="G699" i="5"/>
  <c r="G702" i="5"/>
  <c r="G703" i="5"/>
  <c r="G704" i="5"/>
  <c r="G705" i="5"/>
  <c r="G706" i="5"/>
  <c r="G707" i="5"/>
  <c r="G708" i="5"/>
  <c r="G709" i="5"/>
  <c r="G710" i="5"/>
  <c r="G711" i="5"/>
  <c r="G712" i="5"/>
  <c r="G714" i="5"/>
  <c r="G715" i="5"/>
  <c r="G716" i="5"/>
  <c r="G722" i="5"/>
  <c r="G723" i="5"/>
  <c r="G733" i="5"/>
  <c r="G734" i="5"/>
  <c r="G735" i="5"/>
  <c r="G736" i="5"/>
  <c r="G738" i="5"/>
  <c r="G742" i="5"/>
  <c r="G744" i="5"/>
  <c r="G745" i="5"/>
  <c r="G746" i="5"/>
  <c r="G748" i="5"/>
  <c r="G751" i="5"/>
  <c r="G752" i="5"/>
  <c r="G753" i="5"/>
  <c r="G755" i="5"/>
  <c r="G756" i="5"/>
  <c r="G757" i="5"/>
  <c r="G760" i="5"/>
  <c r="G761" i="5"/>
  <c r="G763" i="5"/>
  <c r="G764" i="5"/>
  <c r="G765" i="5"/>
  <c r="G766" i="5"/>
  <c r="G767" i="5"/>
  <c r="G769" i="5"/>
  <c r="G770" i="5"/>
  <c r="G771" i="5"/>
  <c r="G772" i="5"/>
  <c r="G776" i="5"/>
  <c r="G777" i="5"/>
  <c r="G778" i="5"/>
  <c r="G779" i="5"/>
  <c r="G780" i="5"/>
  <c r="G781" i="5"/>
  <c r="G782" i="5"/>
  <c r="G789" i="5"/>
  <c r="G790" i="5"/>
  <c r="G791" i="5"/>
  <c r="G792" i="5"/>
  <c r="G793" i="5"/>
  <c r="G794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43" i="5"/>
  <c r="G63" i="5"/>
  <c r="G885" i="5"/>
  <c r="G887" i="5"/>
  <c r="G889" i="5"/>
  <c r="G890" i="5"/>
  <c r="G891" i="5"/>
  <c r="G892" i="5"/>
  <c r="G893" i="5"/>
  <c r="G894" i="5"/>
  <c r="G895" i="5"/>
  <c r="G896" i="5"/>
  <c r="G897" i="5"/>
  <c r="G898" i="5"/>
  <c r="G900" i="5"/>
  <c r="G901" i="5"/>
  <c r="G902" i="5"/>
  <c r="G903" i="5"/>
  <c r="G904" i="5"/>
  <c r="G905" i="5"/>
  <c r="G906" i="5"/>
  <c r="G1027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66" i="5"/>
  <c r="G1108" i="5"/>
  <c r="G1239" i="5"/>
  <c r="G1295" i="5"/>
  <c r="G1359" i="5"/>
  <c r="G1362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4" i="5"/>
  <c r="G24" i="5"/>
  <c r="G25" i="5"/>
  <c r="G26" i="5"/>
  <c r="G27" i="5"/>
  <c r="G28" i="5"/>
  <c r="G29" i="5"/>
  <c r="G32" i="5"/>
  <c r="G33" i="5"/>
  <c r="G34" i="5"/>
  <c r="G35" i="5"/>
  <c r="G36" i="5"/>
  <c r="G37" i="5"/>
  <c r="G38" i="5"/>
  <c r="G39" i="5"/>
  <c r="G66" i="5"/>
  <c r="G68" i="5"/>
  <c r="G69" i="5"/>
  <c r="G70" i="5"/>
  <c r="G77" i="5"/>
  <c r="G8" i="5"/>
  <c r="G10" i="5"/>
  <c r="G13" i="5"/>
  <c r="G14" i="5"/>
  <c r="G15" i="5"/>
  <c r="G16" i="5"/>
  <c r="G17" i="5"/>
  <c r="G18" i="5"/>
  <c r="G19" i="5"/>
  <c r="G20" i="5"/>
  <c r="G21" i="5"/>
  <c r="G22" i="5"/>
  <c r="G23" i="5"/>
  <c r="G7" i="5"/>
  <c r="B14" i="6" l="1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13" i="6"/>
  <c r="C7" i="6" l="1"/>
  <c r="C6" i="6"/>
  <c r="C5" i="6"/>
  <c r="E6" i="6" l="1"/>
  <c r="E7" i="6"/>
</calcChain>
</file>

<file path=xl/comments1.xml><?xml version="1.0" encoding="utf-8"?>
<comments xmlns="http://schemas.openxmlformats.org/spreadsheetml/2006/main">
  <authors>
    <author>Marie-Claire GESSE</author>
  </authors>
  <commentList>
    <comment ref="C2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Stage du 02/04/24 au 31/10/24</t>
        </r>
      </text>
    </comment>
  </commentList>
</comments>
</file>

<file path=xl/comments2.xml><?xml version="1.0" encoding="utf-8"?>
<comments xmlns="http://schemas.openxmlformats.org/spreadsheetml/2006/main">
  <authors>
    <author>Marie-Claire GESSE</author>
  </authors>
  <commentList>
    <comment ref="H114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Demande Intervention</t>
        </r>
      </text>
    </comment>
  </commentList>
</comments>
</file>

<file path=xl/comments3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4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5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6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7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8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9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10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11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12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13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14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15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16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17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18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19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20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21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22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23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24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25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26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27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28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29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30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31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32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33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comments34.xml><?xml version="1.0" encoding="utf-8"?>
<comments xmlns="http://schemas.openxmlformats.org/spreadsheetml/2006/main">
  <authors>
    <author>Marie-Claire GESSE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Marie-Claire GESSE:</t>
        </r>
        <r>
          <rPr>
            <sz val="9"/>
            <color indexed="81"/>
            <rFont val="Tahoma"/>
            <family val="2"/>
          </rPr>
          <t xml:space="preserve">
A saisir
</t>
        </r>
      </text>
    </comment>
  </commentList>
</comments>
</file>

<file path=xl/sharedStrings.xml><?xml version="1.0" encoding="utf-8"?>
<sst xmlns="http://schemas.openxmlformats.org/spreadsheetml/2006/main" count="3532" uniqueCount="329">
  <si>
    <t>Matricule</t>
  </si>
  <si>
    <t>Date d'entrée</t>
  </si>
  <si>
    <t xml:space="preserve">Ancienneté </t>
  </si>
  <si>
    <t>Naissance</t>
  </si>
  <si>
    <t>Age</t>
  </si>
  <si>
    <t>Cat</t>
  </si>
  <si>
    <t>H</t>
  </si>
  <si>
    <t>F</t>
  </si>
  <si>
    <t>Chef Projet Robot</t>
  </si>
  <si>
    <t>Manager leader</t>
  </si>
  <si>
    <t>Mélangeage
Mélangeur en interne</t>
  </si>
  <si>
    <t>Bilan
Carbone</t>
  </si>
  <si>
    <t>CORE
TOOLS</t>
  </si>
  <si>
    <t>QT
QLM</t>
  </si>
  <si>
    <t>AMDEC</t>
  </si>
  <si>
    <t>PROREFEI :
Référent
Energie</t>
  </si>
  <si>
    <t>My 
Report</t>
  </si>
  <si>
    <t xml:space="preserve">Poste de travail </t>
  </si>
  <si>
    <t>Poste de travail 2</t>
  </si>
  <si>
    <t>Poste de travail 3</t>
  </si>
  <si>
    <t>O</t>
  </si>
  <si>
    <t>E</t>
  </si>
  <si>
    <t>C</t>
  </si>
  <si>
    <t>Poste 506</t>
  </si>
  <si>
    <t>Poste 507</t>
  </si>
  <si>
    <t>Poste 515</t>
  </si>
  <si>
    <t>Poste 516</t>
  </si>
  <si>
    <t>Poste 1404</t>
  </si>
  <si>
    <t>Poste 1402</t>
  </si>
  <si>
    <t>Poste 1121</t>
  </si>
  <si>
    <t>Poste 1100</t>
  </si>
  <si>
    <t>Poste 514</t>
  </si>
  <si>
    <t>Poste 912</t>
  </si>
  <si>
    <t>Poste 560</t>
  </si>
  <si>
    <t>Poste 510</t>
  </si>
  <si>
    <t>Poste 830</t>
  </si>
  <si>
    <t>Poste 1405</t>
  </si>
  <si>
    <t>Poste 906</t>
  </si>
  <si>
    <t>Poste 900</t>
  </si>
  <si>
    <t>Poste 942</t>
  </si>
  <si>
    <t>Poste 940</t>
  </si>
  <si>
    <t>Poste 1401</t>
  </si>
  <si>
    <t>Poste 930</t>
  </si>
  <si>
    <t>Poste 1103</t>
  </si>
  <si>
    <t>Poste 1412</t>
  </si>
  <si>
    <t>Poste 901</t>
  </si>
  <si>
    <t>Poste 924</t>
  </si>
  <si>
    <t>Poste 902</t>
  </si>
  <si>
    <t>Poste 920</t>
  </si>
  <si>
    <t>Poste 903</t>
  </si>
  <si>
    <t>Poste 904</t>
  </si>
  <si>
    <t>Poste 905</t>
  </si>
  <si>
    <t>Poste 1406</t>
  </si>
  <si>
    <t>Poste 941</t>
  </si>
  <si>
    <t>Poste 923</t>
  </si>
  <si>
    <t>F/H</t>
  </si>
  <si>
    <t>Année</t>
  </si>
  <si>
    <t>Tranche d'Age</t>
  </si>
  <si>
    <t>Tranche</t>
  </si>
  <si>
    <t>Moins de 26 ans</t>
  </si>
  <si>
    <t>26 à &lt; 46 ans</t>
  </si>
  <si>
    <t>46 à &lt; 55 ans</t>
  </si>
  <si>
    <t>55 ans et plus</t>
  </si>
  <si>
    <t>Nom Prénom</t>
  </si>
  <si>
    <t>ACEDO Sébastien</t>
  </si>
  <si>
    <t>ARNAL Jean-Marie</t>
  </si>
  <si>
    <t>BAGDASARIANI Eduardi</t>
  </si>
  <si>
    <t>BEHEREGARAY Jean Michel</t>
  </si>
  <si>
    <t>BENGOCHEA Emmanuel</t>
  </si>
  <si>
    <t>BERGEZ Franck</t>
  </si>
  <si>
    <t>BERROGAIN  Jean Baptiste</t>
  </si>
  <si>
    <t>BIDONDO Anthony</t>
  </si>
  <si>
    <t>BIDONDO Pierre</t>
  </si>
  <si>
    <t>BONESTEVE Jérôme</t>
  </si>
  <si>
    <t>BRANKAER Alexandre</t>
  </si>
  <si>
    <t>CAMPANE Jean François</t>
  </si>
  <si>
    <t>CARRICABURU Alain</t>
  </si>
  <si>
    <t>CAZENAVE Jean</t>
  </si>
  <si>
    <t>CORDANI Jean Marie</t>
  </si>
  <si>
    <t>CORREIA DOS SANTOS Jorge</t>
  </si>
  <si>
    <t>COSTA Daniel</t>
  </si>
  <si>
    <t>COUCHINAVE Sonia</t>
  </si>
  <si>
    <t>COUCHINAVE  Eric</t>
  </si>
  <si>
    <t>COURTIES Doryan</t>
  </si>
  <si>
    <t xml:space="preserve">COURTIES  Paul </t>
  </si>
  <si>
    <t>DA COSTA SILVA Sonia</t>
  </si>
  <si>
    <t>DA COSTA-RAMOS Marlène</t>
  </si>
  <si>
    <t>DA COSTA-RAMOS Sergio</t>
  </si>
  <si>
    <t>DAGUERRE Patrick</t>
  </si>
  <si>
    <t>DAVIES Edouard</t>
  </si>
  <si>
    <t>DEVAUX David</t>
  </si>
  <si>
    <t>DOS SANTOS Charly</t>
  </si>
  <si>
    <t>DUMOLLARD Thierry</t>
  </si>
  <si>
    <t>DUMUR Vincent</t>
  </si>
  <si>
    <t>DUTTER Muriel</t>
  </si>
  <si>
    <t>ETCHEBERRIBORDE Julie</t>
  </si>
  <si>
    <t>ETCHEVERRY Frédéric</t>
  </si>
  <si>
    <t>GAUCHET  Steve</t>
  </si>
  <si>
    <t>GELARD Alain</t>
  </si>
  <si>
    <t>GESSE Marie Claire</t>
  </si>
  <si>
    <t>GODFRIN David</t>
  </si>
  <si>
    <t>GONOT Damien</t>
  </si>
  <si>
    <t>GONZALEZ-MERG Paulo Christiano</t>
  </si>
  <si>
    <t>GOUVERT Caroline</t>
  </si>
  <si>
    <t>GOUVINHAS Alexandre</t>
  </si>
  <si>
    <t>GUIMON Alain</t>
  </si>
  <si>
    <t>IDIART Céline</t>
  </si>
  <si>
    <t>JOUMAH HASSAN</t>
  </si>
  <si>
    <t>HEUGAS Jérémy</t>
  </si>
  <si>
    <t>LAC-PEYRAS Pascale</t>
  </si>
  <si>
    <t>LARRABURU Pascale</t>
  </si>
  <si>
    <t>LASCOUMES Marie</t>
  </si>
  <si>
    <t>LUQUET François</t>
  </si>
  <si>
    <t>MARCADIEU Cédric</t>
  </si>
  <si>
    <t>MARTA Frédéric</t>
  </si>
  <si>
    <t>MERCIRIS Théo</t>
  </si>
  <si>
    <t>MILAGE Alban</t>
  </si>
  <si>
    <t>MOLUS Sonia</t>
  </si>
  <si>
    <t>MORIAT André</t>
  </si>
  <si>
    <t>MOUREU Marie Laure</t>
  </si>
  <si>
    <t xml:space="preserve">MOUSTROUS Hervé          </t>
  </si>
  <si>
    <t>MUNOZ Vanessa</t>
  </si>
  <si>
    <t>OLIVIER Alban</t>
  </si>
  <si>
    <t>ORDUNA Pierre</t>
  </si>
  <si>
    <t>OYHENART Nicolas</t>
  </si>
  <si>
    <t>PEREZ Xavier</t>
  </si>
  <si>
    <t>PICOT Frédéric</t>
  </si>
  <si>
    <t>POCHELU André</t>
  </si>
  <si>
    <t>POISSONNET Jean Louis</t>
  </si>
  <si>
    <t>POUTOU Eldon</t>
  </si>
  <si>
    <t>RABINEAU Nicolas</t>
  </si>
  <si>
    <t>RECALT  Jean Paul</t>
  </si>
  <si>
    <t xml:space="preserve">RECALT  Hervé          </t>
  </si>
  <si>
    <t>REINA Frédéric</t>
  </si>
  <si>
    <t>REMON Florian</t>
  </si>
  <si>
    <t>RICE Matthew</t>
  </si>
  <si>
    <t>SALLABERRY Jean-Michel</t>
  </si>
  <si>
    <t>SALLETTE Frédéric</t>
  </si>
  <si>
    <t>SARALEGUI Eric</t>
  </si>
  <si>
    <t>SICRE Pierre</t>
  </si>
  <si>
    <t>SOUBIRAN Véronique</t>
  </si>
  <si>
    <t>THIERY Adrien</t>
  </si>
  <si>
    <t>TRADERE Jonathan</t>
  </si>
  <si>
    <t>VASSEUR Joffrey</t>
  </si>
  <si>
    <t>VERGE Olivier</t>
  </si>
  <si>
    <t>SAUVE Amaïa</t>
  </si>
  <si>
    <t>Utilisation PTI</t>
  </si>
  <si>
    <t>EL HAMOUCHI</t>
  </si>
  <si>
    <t>FERNANDEZ Thomas</t>
  </si>
  <si>
    <t>AMAT Romain</t>
  </si>
  <si>
    <t>Habilitation électrique BE Manœuvre BS</t>
  </si>
  <si>
    <t>AGUERRE Stéphane</t>
  </si>
  <si>
    <t>Poste 908</t>
  </si>
  <si>
    <t>Formation LEAN</t>
  </si>
  <si>
    <t>Manipulation Nanocharges</t>
  </si>
  <si>
    <t>Déversement hydrocarbures - Tri déchets</t>
  </si>
  <si>
    <t>Poste 1004</t>
  </si>
  <si>
    <t>Poste 1003</t>
  </si>
  <si>
    <t>Poste 610</t>
  </si>
  <si>
    <t>Poste 1105</t>
  </si>
  <si>
    <t>Poste 1109</t>
  </si>
  <si>
    <t>Membres CSE</t>
  </si>
  <si>
    <t>Poste 509</t>
  </si>
  <si>
    <t>Exposé TPM Maintenance Productive Totale</t>
  </si>
  <si>
    <t>Poste 1101</t>
  </si>
  <si>
    <t>BIDONDO  Mickaël</t>
  </si>
  <si>
    <t>CHARMAN Maxime</t>
  </si>
  <si>
    <t>COLAS Martin</t>
  </si>
  <si>
    <t>IFOCA le mélangeage</t>
  </si>
  <si>
    <t>BERTONECHE Tom</t>
  </si>
  <si>
    <t>DUCHAMP Lionel</t>
  </si>
  <si>
    <t>MONTOIS Xabi</t>
  </si>
  <si>
    <t>URRUTIA Laurent</t>
  </si>
  <si>
    <t>UTI.COM - SSI / CHUBB</t>
  </si>
  <si>
    <t>DELGADO Cédric</t>
  </si>
  <si>
    <t>PRAP IBC</t>
  </si>
  <si>
    <t>Auditeurs de processus</t>
  </si>
  <si>
    <t>Auditeur interne ISO 9001/IATF</t>
  </si>
  <si>
    <t>HOROQUARTZ</t>
  </si>
  <si>
    <t>Exposition Produits chimiques</t>
  </si>
  <si>
    <t>Qualité</t>
  </si>
  <si>
    <t>Excel</t>
  </si>
  <si>
    <t>DEB</t>
  </si>
  <si>
    <t xml:space="preserve">Anglais </t>
  </si>
  <si>
    <t>Formateur en SST</t>
  </si>
  <si>
    <t>WORD PRESS</t>
  </si>
  <si>
    <t>GERONY Carole</t>
  </si>
  <si>
    <t>SERVANT Mikaël</t>
  </si>
  <si>
    <t>Droit des ICPE ACD Chimie</t>
  </si>
  <si>
    <t>Référent harcèlement</t>
  </si>
  <si>
    <t>Responsable sécurité</t>
  </si>
  <si>
    <t>IFOCA Initiation Personnel de Laboratoire</t>
  </si>
  <si>
    <t>Chargé de prévention TMS</t>
  </si>
  <si>
    <t>JELASSI Joël</t>
  </si>
  <si>
    <t>INSTRON</t>
  </si>
  <si>
    <t>Gestion Projet + ISO T.S.</t>
  </si>
  <si>
    <t>Utilisation CHEMKER</t>
  </si>
  <si>
    <t>Auditeur Produit</t>
  </si>
  <si>
    <t>ADVISE</t>
  </si>
  <si>
    <t>Contrôleur laboratoire</t>
  </si>
  <si>
    <t>Poste 1007</t>
  </si>
  <si>
    <t>Poste Ponceuse Découpe</t>
  </si>
  <si>
    <t>Prévention TMS - Gestes Postures et Nutrition</t>
  </si>
  <si>
    <t>Déversement granulés</t>
  </si>
  <si>
    <t>Conduite Chariots Cat.3 et Cat.5</t>
  </si>
  <si>
    <t>Conduite Chariots Cat.5</t>
  </si>
  <si>
    <t>Conduite Chariots Cat.3</t>
  </si>
  <si>
    <t>S.S.T. Sauveteurs Secourites du Travail</t>
  </si>
  <si>
    <t>Recyclage S.S.T. Recyclage Sauveteurs Secourites du Travail</t>
  </si>
  <si>
    <t>AQI Chaufferies - Agent Qualifié d'Intervention en chaufferies</t>
  </si>
  <si>
    <t>Sensibilisation RPS Risques Psychosociaux</t>
  </si>
  <si>
    <t>Concevoir des machines neuves directive 2006/42/CE - APAVE</t>
  </si>
  <si>
    <t>Conduite Manuscopique Cat.9 CACES R372M</t>
  </si>
  <si>
    <t>API SIEMENS SIMATIC SAFETY TIA PORTAL</t>
  </si>
  <si>
    <t>Formation Moulage / Sté REP</t>
  </si>
  <si>
    <t>SUBLIME Cyril</t>
  </si>
  <si>
    <t>Poste 910</t>
  </si>
  <si>
    <t>Stratégie et bonnes pratiques de présence pro sur Linkedin</t>
  </si>
  <si>
    <t>ADR Transport de matières dangereuses</t>
  </si>
  <si>
    <t>Machine BATCH OFF/Lescuyer + Machines Calandrage</t>
  </si>
  <si>
    <t>Sensibilisation au bruit</t>
  </si>
  <si>
    <t>Défibrillateur</t>
  </si>
  <si>
    <t>Incendie</t>
  </si>
  <si>
    <t xml:space="preserve">N° </t>
  </si>
  <si>
    <t>Libellé formation</t>
  </si>
  <si>
    <t>N° matricule</t>
  </si>
  <si>
    <t>Code formation</t>
  </si>
  <si>
    <t>Date début</t>
  </si>
  <si>
    <t>Date fin</t>
  </si>
  <si>
    <t>Nbre d'heures</t>
  </si>
  <si>
    <t>Gestion du stress</t>
  </si>
  <si>
    <t>MDR Pression : Mesure effet agents gonflants dans un mélange C/C</t>
  </si>
  <si>
    <t>Maintenance Rhéo Visco appareil Labo / ALPHA TECHNOLOGIE</t>
  </si>
  <si>
    <t xml:space="preserve">Utilisation nouvelle PAE Pompe à engrenage / UTH </t>
  </si>
  <si>
    <t>Membres CHSCT</t>
  </si>
  <si>
    <t>WORD</t>
  </si>
  <si>
    <t>Logiciel NEXIGEN+</t>
  </si>
  <si>
    <t>API SIEMENS SIMATIC S7</t>
  </si>
  <si>
    <t>Poste 834</t>
  </si>
  <si>
    <t>UNANUA Dominique</t>
  </si>
  <si>
    <t>Conduite nacelle CACES R486A  Plate forme mobile</t>
  </si>
  <si>
    <t>Habilitation électrique HC/H2V/HE Manœuvre</t>
  </si>
  <si>
    <t>ATEX Niveau 0 - Sensibilisation</t>
  </si>
  <si>
    <t>ATEX Niveau 1 (1E+1M) Electrique et Mécanique</t>
  </si>
  <si>
    <t xml:space="preserve">CIRAD / Les secrets d'un polymère </t>
  </si>
  <si>
    <t>ERP DIVALTO</t>
  </si>
  <si>
    <t>NOM Prénom</t>
  </si>
  <si>
    <t>Formations effectuées</t>
  </si>
  <si>
    <t>Sensibilisation aux addictions</t>
  </si>
  <si>
    <t>Date sortie</t>
  </si>
  <si>
    <t>Date :</t>
  </si>
  <si>
    <t>N° Matricule :</t>
  </si>
  <si>
    <t>Date naissance :</t>
  </si>
  <si>
    <t>Age :</t>
  </si>
  <si>
    <t>Date d'entrée :</t>
  </si>
  <si>
    <t>Ancienneté :</t>
  </si>
  <si>
    <t>Nom Prénom :</t>
  </si>
  <si>
    <t>Liste des formations effectuées :</t>
  </si>
  <si>
    <t>Intitulé</t>
  </si>
  <si>
    <t>ENTERPRISE / ALPHA TECHNOLOGIE</t>
  </si>
  <si>
    <t>Durée (h)</t>
  </si>
  <si>
    <t>Organisme</t>
  </si>
  <si>
    <t>IFOCA</t>
  </si>
  <si>
    <t>SOCOTEC</t>
  </si>
  <si>
    <t>INDARRA Informatique</t>
  </si>
  <si>
    <t>IFOCA - Le Caoutchouc par la Technique</t>
  </si>
  <si>
    <t>IFOCA - Formulation des caoutchoucs : INITIATION</t>
  </si>
  <si>
    <t>IFOCA - Le mélangeage : de la Matière Première à la Pièce Finie</t>
  </si>
  <si>
    <t>IFOCA - Le Mélangeage de la Préparation au Contrôle : Les bonnes Pratiques à standardiser</t>
  </si>
  <si>
    <t>Revue plan d'urgence et Revue analyse PIEU</t>
  </si>
  <si>
    <t>RECALT Hervé</t>
  </si>
  <si>
    <t>CHAUFFAILLE Didier</t>
  </si>
  <si>
    <t>ETCHEVERRY Steve</t>
  </si>
  <si>
    <t>LALANNE Pierre</t>
  </si>
  <si>
    <t>Audit Process VDA point 6.2.1</t>
  </si>
  <si>
    <t>ETCHEVERRIA Joaquim</t>
  </si>
  <si>
    <t>PETIT DIT CHAGUET Jean-Baptiste</t>
  </si>
  <si>
    <t>Poste 561</t>
  </si>
  <si>
    <t>Heures formation</t>
  </si>
  <si>
    <t>Manager et animer une équipe</t>
  </si>
  <si>
    <t>ETCHE Formation</t>
  </si>
  <si>
    <t>Conduire une réunion</t>
  </si>
  <si>
    <t>VERTEGO</t>
  </si>
  <si>
    <t>EMAC/ETCHEVERRY Steve</t>
  </si>
  <si>
    <t>Habilitation électrique BR/BC/B2V/HOV</t>
  </si>
  <si>
    <t>Les fondamentaux de la métrologie</t>
  </si>
  <si>
    <t>AFNOR Compétences</t>
  </si>
  <si>
    <t>EURO-SYMBIOSE</t>
  </si>
  <si>
    <t>Total heures (filtré)</t>
  </si>
  <si>
    <t>Nombre de formation (filtré)</t>
  </si>
  <si>
    <t>ETCHE FORMATION</t>
  </si>
  <si>
    <t>BERCAITS François</t>
  </si>
  <si>
    <t xml:space="preserve">IFOCA - Le mélangeage </t>
  </si>
  <si>
    <t>MARQUES Pauline</t>
  </si>
  <si>
    <t>SIMON Thomas</t>
  </si>
  <si>
    <t>Poste 900-1412-910-1100</t>
  </si>
  <si>
    <t>MENDRIBIL Alain</t>
  </si>
  <si>
    <t>LEPOLARD Baptiste</t>
  </si>
  <si>
    <t>LORDON Jean-Baptiste</t>
  </si>
  <si>
    <t>TARDY Jean-Marie</t>
  </si>
  <si>
    <t>Libellé</t>
  </si>
  <si>
    <t>N°</t>
  </si>
  <si>
    <t xml:space="preserve">Nbre Heures formation </t>
  </si>
  <si>
    <t>R. S.S.T. Recyclage Sauveteurs Secourites du Travail</t>
  </si>
  <si>
    <t>Interne / MUNOZ-RABINEAU</t>
  </si>
  <si>
    <t>GERE Lucy</t>
  </si>
  <si>
    <t>Habilitation électrique BR/BC/B2V/HC/H2V/HE Manœuvre</t>
  </si>
  <si>
    <t>PSCR Représentant de la sécurité produit et de la conformité dans l'industrie automobile</t>
  </si>
  <si>
    <t>Interne</t>
  </si>
  <si>
    <t>Interne / MUNOZ</t>
  </si>
  <si>
    <t>Interne / ETCHEVERRY S</t>
  </si>
  <si>
    <t>Kine Santé Prévention</t>
  </si>
  <si>
    <t>APAVE</t>
  </si>
  <si>
    <t xml:space="preserve">Etche formation </t>
  </si>
  <si>
    <t>Etche formation</t>
  </si>
  <si>
    <t>VARIN Fabien</t>
  </si>
  <si>
    <t>Chauffeur en chaufferie</t>
  </si>
  <si>
    <t>LAURENT Alain</t>
  </si>
  <si>
    <t>ARNAL Damien</t>
  </si>
  <si>
    <t>REXEL</t>
  </si>
  <si>
    <t>MASY Didier</t>
  </si>
  <si>
    <t>LEPLAT Laurent</t>
  </si>
  <si>
    <t>VIVES Jon</t>
  </si>
  <si>
    <t>CLIQUENNOIS Lothaire</t>
  </si>
  <si>
    <t>18/1225</t>
  </si>
  <si>
    <t>DHENIN Teddy</t>
  </si>
  <si>
    <t>SIDAMONIDZE Gela</t>
  </si>
  <si>
    <t>GROSS Luka</t>
  </si>
  <si>
    <t>SAWICZ Jakub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</si>
</sst>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indexed="64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0" fontId="0" fillId="0" borderId="2" xfId="0" applyBorder="1"/>
    <xf numFmtId="14" fontId="0" fillId="0" borderId="2" xfId="0" applyNumberFormat="1" applyBorder="1"/>
    <xf numFmtId="2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164" fontId="2" fillId="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0" fillId="0" borderId="0" xfId="0" applyNumberFormat="1"/>
    <xf numFmtId="0" fontId="6" fillId="0" borderId="0" xfId="0" applyFont="1"/>
    <xf numFmtId="14" fontId="2" fillId="2" borderId="3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11" fillId="0" borderId="0" xfId="0" applyFont="1"/>
    <xf numFmtId="14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0" borderId="11" xfId="0" applyBorder="1"/>
    <xf numFmtId="0" fontId="11" fillId="0" borderId="12" xfId="0" applyFont="1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6" xfId="0" applyBorder="1"/>
    <xf numFmtId="0" fontId="11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14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2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left"/>
    </xf>
    <xf numFmtId="0" fontId="0" fillId="0" borderId="6" xfId="0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2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14" fontId="0" fillId="0" borderId="18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4" fontId="9" fillId="0" borderId="0" xfId="0" applyNumberFormat="1" applyFont="1"/>
    <xf numFmtId="0" fontId="0" fillId="0" borderId="24" xfId="0" applyBorder="1"/>
    <xf numFmtId="0" fontId="0" fillId="0" borderId="26" xfId="0" applyBorder="1"/>
    <xf numFmtId="0" fontId="1" fillId="0" borderId="25" xfId="0" applyFont="1" applyBorder="1" applyAlignment="1">
      <alignment vertical="center" wrapText="1"/>
    </xf>
    <xf numFmtId="2" fontId="4" fillId="0" borderId="0" xfId="0" applyNumberFormat="1" applyFont="1"/>
    <xf numFmtId="0" fontId="14" fillId="0" borderId="0" xfId="0" applyFont="1" applyAlignment="1">
      <alignment horizontal="left"/>
    </xf>
    <xf numFmtId="0" fontId="4" fillId="0" borderId="0" xfId="0" applyFont="1"/>
    <xf numFmtId="4" fontId="1" fillId="0" borderId="0" xfId="0" applyNumberFormat="1" applyFont="1"/>
    <xf numFmtId="0" fontId="4" fillId="0" borderId="0" xfId="0" applyFont="1" applyAlignment="1">
      <alignment horizontal="left"/>
    </xf>
    <xf numFmtId="0" fontId="11" fillId="0" borderId="27" xfId="0" applyFont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0" xfId="0" applyAlignment="1">
      <alignment horizontal="right"/>
    </xf>
    <xf numFmtId="4" fontId="0" fillId="0" borderId="0" xfId="0" applyNumberFormat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right"/>
    </xf>
    <xf numFmtId="0" fontId="4" fillId="3" borderId="0" xfId="0" applyFont="1" applyFill="1"/>
    <xf numFmtId="0" fontId="0" fillId="0" borderId="29" xfId="0" applyBorder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right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ables/table1.xml><?xml version="1.0" encoding="utf-8"?>
<table xmlns="http://schemas.openxmlformats.org/spreadsheetml/2006/main" id="3" name="TableTrAge" displayName="TableTrAge" ref="B3:C10" totalsRowShown="0" headerRowDxfId="0">
  <autoFilter ref="B3:C10"/>
  <tableColumns count="2">
    <tableColumn id="1" name="Age"/>
    <tableColumn id="2" name="Tranch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B3:C7"/>
  <sheetViews>
    <sheetView workbookViewId="0">
      <selection activeCell="C20" sqref="C20"/>
    </sheetView>
  </sheetViews>
  <sheetFormatPr baseColWidth="10" defaultRowHeight="15" x14ac:dyDescent="0.25"/>
  <sheetData>
    <row r="3" spans="2:3" x14ac:dyDescent="0.25">
      <c r="B3" s="11" t="s">
        <v>4</v>
      </c>
      <c r="C3" s="11" t="s">
        <v>58</v>
      </c>
    </row>
    <row r="4" spans="2:3" x14ac:dyDescent="0.25">
      <c r="B4">
        <v>0</v>
      </c>
      <c r="C4" s="11" t="s">
        <v>59</v>
      </c>
    </row>
    <row r="5" spans="2:3" x14ac:dyDescent="0.25">
      <c r="B5">
        <v>26</v>
      </c>
      <c r="C5" s="11" t="s">
        <v>60</v>
      </c>
    </row>
    <row r="6" spans="2:3" x14ac:dyDescent="0.25">
      <c r="B6">
        <v>46</v>
      </c>
      <c r="C6" s="11" t="s">
        <v>61</v>
      </c>
    </row>
    <row r="7" spans="2:3" x14ac:dyDescent="0.25">
      <c r="B7">
        <v>55</v>
      </c>
      <c r="C7" s="11" t="s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3:J103"/>
  <sheetViews>
    <sheetView topLeftCell="A70" workbookViewId="0">
      <selection activeCell="A90" sqref="A90:B90"/>
    </sheetView>
  </sheetViews>
  <sheetFormatPr baseColWidth="10" defaultRowHeight="15" x14ac:dyDescent="0.25"/>
  <cols>
    <col min="2" max="2" width="24.85546875" customWidth="1"/>
    <col min="5" max="5" width="11.42578125" style="18"/>
  </cols>
  <sheetData>
    <row r="3" spans="1:10" x14ac:dyDescent="0.25">
      <c r="A3" s="1" t="s">
        <v>0</v>
      </c>
      <c r="B3" s="12" t="s">
        <v>63</v>
      </c>
      <c r="C3" s="12" t="s">
        <v>1</v>
      </c>
      <c r="D3" s="12" t="s">
        <v>2</v>
      </c>
      <c r="E3" s="17" t="s">
        <v>249</v>
      </c>
      <c r="F3" s="12" t="s">
        <v>3</v>
      </c>
      <c r="G3" s="12" t="s">
        <v>4</v>
      </c>
      <c r="H3" s="12" t="s">
        <v>57</v>
      </c>
      <c r="I3" s="12" t="s">
        <v>5</v>
      </c>
      <c r="J3" s="12" t="s">
        <v>55</v>
      </c>
    </row>
    <row r="4" spans="1:10" x14ac:dyDescent="0.25">
      <c r="A4" s="2">
        <v>470</v>
      </c>
      <c r="B4" s="2" t="s">
        <v>64</v>
      </c>
      <c r="C4" s="3">
        <v>45083</v>
      </c>
      <c r="D4" s="4"/>
      <c r="E4" s="5"/>
      <c r="F4" s="5">
        <v>34229</v>
      </c>
      <c r="G4" s="4"/>
      <c r="H4" s="4"/>
      <c r="I4" s="6" t="s">
        <v>20</v>
      </c>
      <c r="J4" s="7" t="s">
        <v>6</v>
      </c>
    </row>
    <row r="5" spans="1:10" x14ac:dyDescent="0.25">
      <c r="A5" s="2">
        <v>330</v>
      </c>
      <c r="B5" s="2" t="s">
        <v>151</v>
      </c>
      <c r="C5" s="3">
        <v>41666</v>
      </c>
      <c r="D5" s="4"/>
      <c r="E5" s="5"/>
      <c r="F5" s="5">
        <v>25788</v>
      </c>
      <c r="G5" s="4"/>
      <c r="H5" s="4"/>
      <c r="I5" s="6" t="s">
        <v>20</v>
      </c>
      <c r="J5" s="7" t="s">
        <v>6</v>
      </c>
    </row>
    <row r="6" spans="1:10" x14ac:dyDescent="0.25">
      <c r="A6" s="2">
        <v>387</v>
      </c>
      <c r="B6" s="2" t="s">
        <v>149</v>
      </c>
      <c r="C6" s="3">
        <v>43696</v>
      </c>
      <c r="D6" s="4"/>
      <c r="E6" s="5"/>
      <c r="F6" s="5">
        <v>36376</v>
      </c>
      <c r="G6" s="4"/>
      <c r="H6" s="4"/>
      <c r="I6" s="6" t="s">
        <v>21</v>
      </c>
      <c r="J6" s="7" t="s">
        <v>6</v>
      </c>
    </row>
    <row r="7" spans="1:10" x14ac:dyDescent="0.25">
      <c r="A7" s="2">
        <v>169</v>
      </c>
      <c r="B7" s="2" t="s">
        <v>65</v>
      </c>
      <c r="C7" s="3">
        <v>37803</v>
      </c>
      <c r="D7" s="4"/>
      <c r="E7" s="5">
        <v>45477</v>
      </c>
      <c r="F7" s="5">
        <v>23865</v>
      </c>
      <c r="G7" s="4"/>
      <c r="H7" s="4"/>
      <c r="I7" s="6" t="s">
        <v>21</v>
      </c>
      <c r="J7" s="7" t="s">
        <v>6</v>
      </c>
    </row>
    <row r="8" spans="1:10" x14ac:dyDescent="0.25">
      <c r="A8" s="2">
        <v>493</v>
      </c>
      <c r="B8" s="2" t="s">
        <v>66</v>
      </c>
      <c r="C8" s="3">
        <v>45173</v>
      </c>
      <c r="D8" s="4"/>
      <c r="E8" s="5"/>
      <c r="F8" s="5">
        <v>34425</v>
      </c>
      <c r="G8" s="4"/>
      <c r="H8" s="4"/>
      <c r="I8" s="6" t="s">
        <v>20</v>
      </c>
      <c r="J8" s="7" t="s">
        <v>6</v>
      </c>
    </row>
    <row r="9" spans="1:10" x14ac:dyDescent="0.25">
      <c r="A9" s="2">
        <v>56</v>
      </c>
      <c r="B9" s="2" t="s">
        <v>67</v>
      </c>
      <c r="C9" s="3">
        <v>33303</v>
      </c>
      <c r="D9" s="4"/>
      <c r="E9" s="5"/>
      <c r="F9" s="5">
        <v>23778</v>
      </c>
      <c r="G9" s="4"/>
      <c r="H9" s="4"/>
      <c r="I9" s="6" t="s">
        <v>21</v>
      </c>
      <c r="J9" s="7" t="s">
        <v>6</v>
      </c>
    </row>
    <row r="10" spans="1:10" x14ac:dyDescent="0.25">
      <c r="A10" s="2">
        <v>50</v>
      </c>
      <c r="B10" s="2" t="s">
        <v>68</v>
      </c>
      <c r="C10" s="3">
        <v>33317</v>
      </c>
      <c r="D10" s="4"/>
      <c r="E10" s="5"/>
      <c r="F10" s="5">
        <v>25758</v>
      </c>
      <c r="G10" s="4"/>
      <c r="H10" s="4"/>
      <c r="I10" s="6" t="s">
        <v>20</v>
      </c>
      <c r="J10" s="7" t="s">
        <v>6</v>
      </c>
    </row>
    <row r="11" spans="1:10" x14ac:dyDescent="0.25">
      <c r="A11" s="8">
        <v>145</v>
      </c>
      <c r="B11" s="2" t="s">
        <v>69</v>
      </c>
      <c r="C11" s="3">
        <v>37221</v>
      </c>
      <c r="D11" s="4"/>
      <c r="E11" s="5"/>
      <c r="F11" s="5">
        <v>29879</v>
      </c>
      <c r="G11" s="4"/>
      <c r="H11" s="4"/>
      <c r="I11" s="9" t="s">
        <v>22</v>
      </c>
      <c r="J11" s="7" t="s">
        <v>6</v>
      </c>
    </row>
    <row r="12" spans="1:10" x14ac:dyDescent="0.25">
      <c r="A12" s="2">
        <v>83</v>
      </c>
      <c r="B12" s="2" t="s">
        <v>70</v>
      </c>
      <c r="C12" s="3">
        <v>32090</v>
      </c>
      <c r="D12" s="4"/>
      <c r="E12" s="5"/>
      <c r="F12" s="5">
        <v>23902</v>
      </c>
      <c r="G12" s="4"/>
      <c r="H12" s="4"/>
      <c r="I12" s="6" t="s">
        <v>21</v>
      </c>
      <c r="J12" s="7" t="s">
        <v>6</v>
      </c>
    </row>
    <row r="13" spans="1:10" x14ac:dyDescent="0.25">
      <c r="A13" s="2">
        <v>10000030</v>
      </c>
      <c r="B13" s="2" t="s">
        <v>169</v>
      </c>
      <c r="C13" s="3">
        <v>45433</v>
      </c>
      <c r="D13" s="4"/>
      <c r="E13" s="5">
        <v>45505</v>
      </c>
      <c r="F13" s="5">
        <v>38314</v>
      </c>
      <c r="G13" s="4"/>
      <c r="H13" s="4"/>
      <c r="I13" s="6" t="s">
        <v>20</v>
      </c>
      <c r="J13" s="7" t="s">
        <v>6</v>
      </c>
    </row>
    <row r="14" spans="1:10" x14ac:dyDescent="0.25">
      <c r="A14" s="2">
        <v>447</v>
      </c>
      <c r="B14" s="2" t="s">
        <v>71</v>
      </c>
      <c r="C14" s="3">
        <v>44613</v>
      </c>
      <c r="D14" s="4"/>
      <c r="E14" s="5"/>
      <c r="F14" s="5">
        <v>35846</v>
      </c>
      <c r="G14" s="4"/>
      <c r="H14" s="4"/>
      <c r="I14" s="6" t="s">
        <v>20</v>
      </c>
      <c r="J14" s="7" t="s">
        <v>6</v>
      </c>
    </row>
    <row r="15" spans="1:10" x14ac:dyDescent="0.25">
      <c r="A15" s="2">
        <v>352</v>
      </c>
      <c r="B15" s="2" t="s">
        <v>165</v>
      </c>
      <c r="C15" s="3">
        <v>42598</v>
      </c>
      <c r="D15" s="4"/>
      <c r="E15" s="5"/>
      <c r="F15" s="5">
        <v>35263</v>
      </c>
      <c r="G15" s="4"/>
      <c r="H15" s="4"/>
      <c r="I15" s="6" t="s">
        <v>20</v>
      </c>
      <c r="J15" s="7" t="s">
        <v>6</v>
      </c>
    </row>
    <row r="16" spans="1:10" x14ac:dyDescent="0.25">
      <c r="A16" s="8">
        <v>46</v>
      </c>
      <c r="B16" s="2" t="s">
        <v>72</v>
      </c>
      <c r="C16" s="3">
        <v>33340</v>
      </c>
      <c r="D16" s="4"/>
      <c r="E16" s="5"/>
      <c r="F16" s="5">
        <v>24408</v>
      </c>
      <c r="G16" s="4"/>
      <c r="H16" s="4"/>
      <c r="I16" s="9" t="s">
        <v>21</v>
      </c>
      <c r="J16" s="7" t="s">
        <v>6</v>
      </c>
    </row>
    <row r="17" spans="1:10" x14ac:dyDescent="0.25">
      <c r="A17" s="2">
        <v>10000010</v>
      </c>
      <c r="B17" s="2" t="s">
        <v>73</v>
      </c>
      <c r="C17" s="3">
        <v>45005</v>
      </c>
      <c r="D17" s="4"/>
      <c r="E17" s="5">
        <v>45093</v>
      </c>
      <c r="F17" s="5">
        <v>30997</v>
      </c>
      <c r="G17" s="4"/>
      <c r="H17" s="4"/>
      <c r="I17" s="9" t="s">
        <v>20</v>
      </c>
      <c r="J17" s="7" t="s">
        <v>6</v>
      </c>
    </row>
    <row r="18" spans="1:10" x14ac:dyDescent="0.25">
      <c r="A18" s="2">
        <v>347</v>
      </c>
      <c r="B18" s="2" t="s">
        <v>74</v>
      </c>
      <c r="C18" s="3">
        <v>42177</v>
      </c>
      <c r="D18" s="4"/>
      <c r="E18" s="5"/>
      <c r="F18" s="5">
        <v>33637</v>
      </c>
      <c r="G18" s="4"/>
      <c r="H18" s="4"/>
      <c r="I18" s="9" t="s">
        <v>20</v>
      </c>
      <c r="J18" s="7" t="s">
        <v>6</v>
      </c>
    </row>
    <row r="19" spans="1:10" x14ac:dyDescent="0.25">
      <c r="A19" s="2">
        <v>462</v>
      </c>
      <c r="B19" s="2" t="s">
        <v>75</v>
      </c>
      <c r="C19" s="3">
        <v>44837</v>
      </c>
      <c r="D19" s="4"/>
      <c r="E19" s="5"/>
      <c r="F19" s="5">
        <v>24251</v>
      </c>
      <c r="G19" s="4"/>
      <c r="H19" s="4"/>
      <c r="I19" s="9" t="s">
        <v>20</v>
      </c>
      <c r="J19" s="7" t="s">
        <v>6</v>
      </c>
    </row>
    <row r="20" spans="1:10" x14ac:dyDescent="0.25">
      <c r="A20" s="2">
        <v>467</v>
      </c>
      <c r="B20" s="2" t="s">
        <v>76</v>
      </c>
      <c r="C20" s="3">
        <v>45027</v>
      </c>
      <c r="D20" s="4"/>
      <c r="E20" s="5"/>
      <c r="F20" s="5">
        <v>31616</v>
      </c>
      <c r="G20" s="4"/>
      <c r="H20" s="4"/>
      <c r="I20" s="6" t="s">
        <v>20</v>
      </c>
      <c r="J20" s="7" t="s">
        <v>6</v>
      </c>
    </row>
    <row r="21" spans="1:10" x14ac:dyDescent="0.25">
      <c r="A21" s="2">
        <v>403</v>
      </c>
      <c r="B21" s="2" t="s">
        <v>77</v>
      </c>
      <c r="C21" s="3">
        <v>44060</v>
      </c>
      <c r="D21" s="4"/>
      <c r="E21" s="5"/>
      <c r="F21" s="5">
        <v>37368</v>
      </c>
      <c r="G21" s="4"/>
      <c r="H21" s="4"/>
      <c r="I21" s="6" t="s">
        <v>20</v>
      </c>
      <c r="J21" s="7" t="s">
        <v>6</v>
      </c>
    </row>
    <row r="22" spans="1:10" x14ac:dyDescent="0.25">
      <c r="A22" s="2">
        <v>278</v>
      </c>
      <c r="B22" s="2" t="s">
        <v>166</v>
      </c>
      <c r="C22" s="3">
        <v>39713</v>
      </c>
      <c r="D22" s="4"/>
      <c r="E22" s="5"/>
      <c r="F22" s="5">
        <v>31280</v>
      </c>
      <c r="G22" s="4"/>
      <c r="H22" s="4"/>
      <c r="I22" s="6" t="s">
        <v>22</v>
      </c>
      <c r="J22" s="7" t="s">
        <v>6</v>
      </c>
    </row>
    <row r="23" spans="1:10" x14ac:dyDescent="0.25">
      <c r="A23" s="2">
        <v>474</v>
      </c>
      <c r="B23" s="2" t="s">
        <v>167</v>
      </c>
      <c r="C23" s="3">
        <v>45384</v>
      </c>
      <c r="D23" s="4"/>
      <c r="E23" s="5"/>
      <c r="F23" s="5">
        <v>37232</v>
      </c>
      <c r="G23" s="4"/>
      <c r="H23" s="4"/>
      <c r="I23" s="6" t="s">
        <v>21</v>
      </c>
      <c r="J23" s="7" t="s">
        <v>6</v>
      </c>
    </row>
    <row r="24" spans="1:10" x14ac:dyDescent="0.25">
      <c r="A24" s="2">
        <v>341</v>
      </c>
      <c r="B24" s="2" t="s">
        <v>78</v>
      </c>
      <c r="C24" s="3">
        <v>42101</v>
      </c>
      <c r="D24" s="4"/>
      <c r="E24" s="5"/>
      <c r="F24" s="5">
        <v>27912</v>
      </c>
      <c r="G24" s="4"/>
      <c r="H24" s="4"/>
      <c r="I24" s="6" t="s">
        <v>20</v>
      </c>
      <c r="J24" s="7" t="s">
        <v>6</v>
      </c>
    </row>
    <row r="25" spans="1:10" x14ac:dyDescent="0.25">
      <c r="A25" s="8">
        <v>353</v>
      </c>
      <c r="B25" s="2" t="s">
        <v>79</v>
      </c>
      <c r="C25" s="3">
        <v>42247</v>
      </c>
      <c r="D25" s="4"/>
      <c r="E25" s="5"/>
      <c r="F25" s="5">
        <v>25449</v>
      </c>
      <c r="G25" s="4"/>
      <c r="H25" s="4"/>
      <c r="I25" s="9" t="s">
        <v>20</v>
      </c>
      <c r="J25" s="7" t="s">
        <v>6</v>
      </c>
    </row>
    <row r="26" spans="1:10" x14ac:dyDescent="0.25">
      <c r="A26" s="2">
        <v>181</v>
      </c>
      <c r="B26" s="2" t="s">
        <v>80</v>
      </c>
      <c r="C26" s="3">
        <v>37949</v>
      </c>
      <c r="D26" s="4"/>
      <c r="E26" s="5"/>
      <c r="F26" s="5">
        <v>29016</v>
      </c>
      <c r="G26" s="4"/>
      <c r="H26" s="4"/>
      <c r="I26" s="6" t="s">
        <v>21</v>
      </c>
      <c r="J26" s="7" t="s">
        <v>6</v>
      </c>
    </row>
    <row r="27" spans="1:10" x14ac:dyDescent="0.25">
      <c r="A27" s="8">
        <v>318</v>
      </c>
      <c r="B27" s="2" t="s">
        <v>82</v>
      </c>
      <c r="C27" s="3">
        <v>41337</v>
      </c>
      <c r="D27" s="4"/>
      <c r="E27" s="5"/>
      <c r="F27" s="5">
        <v>28343</v>
      </c>
      <c r="G27" s="4"/>
      <c r="H27" s="4"/>
      <c r="I27" s="9" t="s">
        <v>20</v>
      </c>
      <c r="J27" s="7" t="s">
        <v>6</v>
      </c>
    </row>
    <row r="28" spans="1:10" x14ac:dyDescent="0.25">
      <c r="A28" s="2">
        <v>129</v>
      </c>
      <c r="B28" s="2" t="s">
        <v>81</v>
      </c>
      <c r="C28" s="3">
        <v>37712</v>
      </c>
      <c r="D28" s="4"/>
      <c r="E28" s="5"/>
      <c r="F28" s="5">
        <v>28558</v>
      </c>
      <c r="G28" s="4"/>
      <c r="H28" s="4"/>
      <c r="I28" s="6" t="s">
        <v>21</v>
      </c>
      <c r="J28" s="7" t="s">
        <v>7</v>
      </c>
    </row>
    <row r="29" spans="1:10" x14ac:dyDescent="0.25">
      <c r="A29" s="8">
        <v>388</v>
      </c>
      <c r="B29" s="2" t="s">
        <v>83</v>
      </c>
      <c r="C29" s="3">
        <v>43696</v>
      </c>
      <c r="D29" s="4"/>
      <c r="E29" s="5"/>
      <c r="F29" s="5">
        <v>30030</v>
      </c>
      <c r="G29" s="4"/>
      <c r="H29" s="4"/>
      <c r="I29" s="9" t="s">
        <v>21</v>
      </c>
      <c r="J29" s="7" t="s">
        <v>6</v>
      </c>
    </row>
    <row r="30" spans="1:10" x14ac:dyDescent="0.25">
      <c r="A30" s="2">
        <v>443</v>
      </c>
      <c r="B30" s="2" t="s">
        <v>84</v>
      </c>
      <c r="C30" s="3">
        <v>44571</v>
      </c>
      <c r="D30" s="4"/>
      <c r="E30" s="5">
        <v>45555</v>
      </c>
      <c r="F30" s="5">
        <v>34552</v>
      </c>
      <c r="G30" s="4"/>
      <c r="H30" s="4"/>
      <c r="I30" s="6" t="s">
        <v>20</v>
      </c>
      <c r="J30" s="7" t="s">
        <v>6</v>
      </c>
    </row>
    <row r="31" spans="1:10" x14ac:dyDescent="0.25">
      <c r="A31" s="2">
        <v>476</v>
      </c>
      <c r="B31" s="2" t="s">
        <v>85</v>
      </c>
      <c r="C31" s="3">
        <v>45159</v>
      </c>
      <c r="D31" s="4"/>
      <c r="E31" s="5">
        <v>45403</v>
      </c>
      <c r="F31" s="5">
        <v>28610</v>
      </c>
      <c r="G31" s="4"/>
      <c r="H31" s="4"/>
      <c r="I31" s="6" t="s">
        <v>20</v>
      </c>
      <c r="J31" s="7" t="s">
        <v>7</v>
      </c>
    </row>
    <row r="32" spans="1:10" x14ac:dyDescent="0.25">
      <c r="A32" s="2">
        <v>471</v>
      </c>
      <c r="B32" s="2" t="s">
        <v>86</v>
      </c>
      <c r="C32" s="3">
        <v>45091</v>
      </c>
      <c r="D32" s="4"/>
      <c r="E32" s="5"/>
      <c r="F32" s="5">
        <v>27141</v>
      </c>
      <c r="G32" s="4"/>
      <c r="H32" s="4"/>
      <c r="I32" s="6" t="s">
        <v>20</v>
      </c>
      <c r="J32" s="7" t="s">
        <v>7</v>
      </c>
    </row>
    <row r="33" spans="1:10" x14ac:dyDescent="0.25">
      <c r="A33" s="2">
        <v>466</v>
      </c>
      <c r="B33" s="2" t="s">
        <v>87</v>
      </c>
      <c r="C33" s="3">
        <v>45019</v>
      </c>
      <c r="D33" s="4"/>
      <c r="E33" s="5"/>
      <c r="F33" s="5">
        <v>27470</v>
      </c>
      <c r="G33" s="4"/>
      <c r="H33" s="4"/>
      <c r="I33" s="6" t="s">
        <v>20</v>
      </c>
      <c r="J33" s="7" t="s">
        <v>6</v>
      </c>
    </row>
    <row r="34" spans="1:10" x14ac:dyDescent="0.25">
      <c r="A34" s="2">
        <v>256</v>
      </c>
      <c r="B34" s="2" t="s">
        <v>88</v>
      </c>
      <c r="C34" s="3">
        <v>39328</v>
      </c>
      <c r="D34" s="4"/>
      <c r="E34" s="5"/>
      <c r="F34" s="5">
        <v>28980</v>
      </c>
      <c r="G34" s="4"/>
      <c r="H34" s="4"/>
      <c r="I34" s="6" t="s">
        <v>21</v>
      </c>
      <c r="J34" s="7" t="s">
        <v>6</v>
      </c>
    </row>
    <row r="35" spans="1:10" x14ac:dyDescent="0.25">
      <c r="A35" s="2">
        <v>455</v>
      </c>
      <c r="B35" s="2" t="s">
        <v>89</v>
      </c>
      <c r="C35" s="3">
        <v>44795</v>
      </c>
      <c r="D35" s="4"/>
      <c r="E35" s="5">
        <v>45631</v>
      </c>
      <c r="F35" s="5">
        <v>27052</v>
      </c>
      <c r="G35" s="4"/>
      <c r="H35" s="4"/>
      <c r="I35" s="6" t="s">
        <v>20</v>
      </c>
      <c r="J35" s="7" t="s">
        <v>6</v>
      </c>
    </row>
    <row r="36" spans="1:10" ht="14.25" customHeight="1" x14ac:dyDescent="0.25">
      <c r="A36" s="2">
        <v>379</v>
      </c>
      <c r="B36" s="2" t="s">
        <v>174</v>
      </c>
      <c r="C36" s="3">
        <v>43536</v>
      </c>
      <c r="D36" s="4"/>
      <c r="E36" s="5"/>
      <c r="F36" s="5">
        <v>29936</v>
      </c>
      <c r="G36" s="4"/>
      <c r="H36" s="4"/>
      <c r="I36" s="6" t="s">
        <v>20</v>
      </c>
      <c r="J36" s="7" t="s">
        <v>6</v>
      </c>
    </row>
    <row r="37" spans="1:10" x14ac:dyDescent="0.25">
      <c r="A37" s="2">
        <v>449</v>
      </c>
      <c r="B37" s="2" t="s">
        <v>90</v>
      </c>
      <c r="C37" s="3">
        <v>44620</v>
      </c>
      <c r="D37" s="4"/>
      <c r="E37" s="5"/>
      <c r="F37" s="5">
        <v>25648</v>
      </c>
      <c r="G37" s="4"/>
      <c r="H37" s="4"/>
      <c r="I37" s="6" t="s">
        <v>20</v>
      </c>
      <c r="J37" s="7" t="s">
        <v>6</v>
      </c>
    </row>
    <row r="38" spans="1:10" x14ac:dyDescent="0.25">
      <c r="A38" s="2">
        <v>434</v>
      </c>
      <c r="B38" s="2" t="s">
        <v>91</v>
      </c>
      <c r="C38" s="3">
        <v>44424</v>
      </c>
      <c r="D38" s="4"/>
      <c r="E38" s="5"/>
      <c r="F38" s="5">
        <v>33809</v>
      </c>
      <c r="G38" s="4"/>
      <c r="H38" s="4"/>
      <c r="I38" s="6" t="s">
        <v>20</v>
      </c>
      <c r="J38" s="7" t="s">
        <v>6</v>
      </c>
    </row>
    <row r="39" spans="1:10" x14ac:dyDescent="0.25">
      <c r="A39" s="2">
        <v>10000033</v>
      </c>
      <c r="B39" s="2" t="s">
        <v>170</v>
      </c>
      <c r="C39" s="3">
        <v>45474</v>
      </c>
      <c r="D39" s="4"/>
      <c r="E39" s="5">
        <v>45604</v>
      </c>
      <c r="F39" s="5">
        <v>25789</v>
      </c>
      <c r="G39" s="4"/>
      <c r="H39" s="4"/>
      <c r="I39" s="6" t="s">
        <v>20</v>
      </c>
      <c r="J39" s="7" t="s">
        <v>6</v>
      </c>
    </row>
    <row r="40" spans="1:10" x14ac:dyDescent="0.25">
      <c r="A40" s="8">
        <v>426</v>
      </c>
      <c r="B40" s="2" t="s">
        <v>92</v>
      </c>
      <c r="C40" s="3">
        <v>44256</v>
      </c>
      <c r="D40" s="4"/>
      <c r="E40" s="5">
        <v>45520</v>
      </c>
      <c r="F40" s="5">
        <v>24965</v>
      </c>
      <c r="G40" s="4"/>
      <c r="H40" s="4"/>
      <c r="I40" s="6" t="s">
        <v>20</v>
      </c>
      <c r="J40" s="7" t="s">
        <v>6</v>
      </c>
    </row>
    <row r="41" spans="1:10" x14ac:dyDescent="0.25">
      <c r="A41" s="8">
        <v>429</v>
      </c>
      <c r="B41" s="2" t="s">
        <v>93</v>
      </c>
      <c r="C41" s="3">
        <v>44305</v>
      </c>
      <c r="D41" s="4"/>
      <c r="E41" s="5">
        <v>45170</v>
      </c>
      <c r="F41" s="5">
        <v>35352</v>
      </c>
      <c r="G41" s="4"/>
      <c r="H41" s="4"/>
      <c r="I41" s="9" t="s">
        <v>20</v>
      </c>
      <c r="J41" s="7" t="s">
        <v>6</v>
      </c>
    </row>
    <row r="42" spans="1:10" x14ac:dyDescent="0.25">
      <c r="A42" s="8">
        <v>411</v>
      </c>
      <c r="B42" s="2" t="s">
        <v>94</v>
      </c>
      <c r="C42" s="3">
        <v>44105</v>
      </c>
      <c r="D42" s="4"/>
      <c r="E42" s="5"/>
      <c r="F42" s="5">
        <v>27551</v>
      </c>
      <c r="G42" s="4"/>
      <c r="H42" s="4"/>
      <c r="I42" s="9" t="s">
        <v>21</v>
      </c>
      <c r="J42" s="7" t="s">
        <v>7</v>
      </c>
    </row>
    <row r="43" spans="1:10" x14ac:dyDescent="0.25">
      <c r="A43" s="8">
        <v>439</v>
      </c>
      <c r="B43" s="2" t="s">
        <v>147</v>
      </c>
      <c r="C43" s="3">
        <v>44468</v>
      </c>
      <c r="D43" s="4"/>
      <c r="E43" s="5"/>
      <c r="F43" s="5">
        <v>26899</v>
      </c>
      <c r="G43" s="4"/>
      <c r="H43" s="4"/>
      <c r="I43" s="9" t="s">
        <v>21</v>
      </c>
      <c r="J43" s="7" t="s">
        <v>6</v>
      </c>
    </row>
    <row r="44" spans="1:10" x14ac:dyDescent="0.25">
      <c r="A44" s="2">
        <v>473</v>
      </c>
      <c r="B44" s="2" t="s">
        <v>95</v>
      </c>
      <c r="C44" s="3">
        <v>45110</v>
      </c>
      <c r="D44" s="4"/>
      <c r="E44" s="5"/>
      <c r="F44" s="5">
        <v>37522</v>
      </c>
      <c r="G44" s="4"/>
      <c r="H44" s="4"/>
      <c r="I44" s="6" t="s">
        <v>21</v>
      </c>
      <c r="J44" s="7" t="s">
        <v>7</v>
      </c>
    </row>
    <row r="45" spans="1:10" x14ac:dyDescent="0.25">
      <c r="A45" s="8">
        <v>336</v>
      </c>
      <c r="B45" s="2" t="s">
        <v>96</v>
      </c>
      <c r="C45" s="3">
        <v>42016</v>
      </c>
      <c r="D45" s="4"/>
      <c r="E45" s="5"/>
      <c r="F45" s="5">
        <v>30215</v>
      </c>
      <c r="G45" s="4"/>
      <c r="H45" s="4"/>
      <c r="I45" s="9" t="s">
        <v>20</v>
      </c>
      <c r="J45" s="7" t="s">
        <v>6</v>
      </c>
    </row>
    <row r="46" spans="1:10" x14ac:dyDescent="0.25">
      <c r="A46" s="8">
        <v>409</v>
      </c>
      <c r="B46" s="2" t="s">
        <v>148</v>
      </c>
      <c r="C46" s="3">
        <v>44095</v>
      </c>
      <c r="D46" s="4"/>
      <c r="E46" s="5"/>
      <c r="F46" s="5">
        <v>35408</v>
      </c>
      <c r="G46" s="4"/>
      <c r="H46" s="4"/>
      <c r="I46" s="9" t="s">
        <v>20</v>
      </c>
      <c r="J46" s="7" t="s">
        <v>6</v>
      </c>
    </row>
    <row r="47" spans="1:10" x14ac:dyDescent="0.25">
      <c r="A47" s="2">
        <v>310</v>
      </c>
      <c r="B47" s="2" t="s">
        <v>97</v>
      </c>
      <c r="C47" s="3">
        <v>41183</v>
      </c>
      <c r="D47" s="4"/>
      <c r="E47" s="5"/>
      <c r="F47" s="5">
        <v>33401</v>
      </c>
      <c r="G47" s="4"/>
      <c r="H47" s="4"/>
      <c r="I47" s="9" t="s">
        <v>22</v>
      </c>
      <c r="J47" s="7" t="s">
        <v>6</v>
      </c>
    </row>
    <row r="48" spans="1:10" x14ac:dyDescent="0.25">
      <c r="A48" s="2">
        <v>478</v>
      </c>
      <c r="B48" s="2" t="s">
        <v>98</v>
      </c>
      <c r="C48" s="3">
        <v>45159</v>
      </c>
      <c r="D48" s="4"/>
      <c r="E48" s="5"/>
      <c r="F48" s="5">
        <v>23889</v>
      </c>
      <c r="G48" s="4"/>
      <c r="H48" s="4"/>
      <c r="I48" s="9" t="s">
        <v>20</v>
      </c>
      <c r="J48" s="7" t="s">
        <v>6</v>
      </c>
    </row>
    <row r="49" spans="1:10" x14ac:dyDescent="0.25">
      <c r="A49" s="2">
        <v>370</v>
      </c>
      <c r="B49" s="2" t="s">
        <v>186</v>
      </c>
      <c r="C49" s="3">
        <v>43059</v>
      </c>
      <c r="D49" s="4"/>
      <c r="E49" s="5"/>
      <c r="F49" s="5">
        <v>28068</v>
      </c>
      <c r="G49" s="4"/>
      <c r="H49" s="4"/>
      <c r="I49" s="9" t="s">
        <v>21</v>
      </c>
      <c r="J49" s="7" t="s">
        <v>7</v>
      </c>
    </row>
    <row r="50" spans="1:10" x14ac:dyDescent="0.25">
      <c r="A50" s="2">
        <v>374</v>
      </c>
      <c r="B50" s="2" t="s">
        <v>99</v>
      </c>
      <c r="C50" s="3">
        <v>43423</v>
      </c>
      <c r="D50" s="4"/>
      <c r="E50" s="5"/>
      <c r="F50" s="5">
        <v>24115</v>
      </c>
      <c r="G50" s="4"/>
      <c r="H50" s="4"/>
      <c r="I50" s="9" t="s">
        <v>21</v>
      </c>
      <c r="J50" s="7" t="s">
        <v>7</v>
      </c>
    </row>
    <row r="51" spans="1:10" x14ac:dyDescent="0.25">
      <c r="A51" s="2">
        <v>294</v>
      </c>
      <c r="B51" s="2" t="s">
        <v>100</v>
      </c>
      <c r="C51" s="3">
        <v>40455</v>
      </c>
      <c r="D51" s="4"/>
      <c r="E51" s="5"/>
      <c r="F51" s="5">
        <v>31974</v>
      </c>
      <c r="G51" s="4"/>
      <c r="H51" s="4"/>
      <c r="I51" s="9" t="s">
        <v>20</v>
      </c>
      <c r="J51" s="7" t="s">
        <v>6</v>
      </c>
    </row>
    <row r="52" spans="1:10" x14ac:dyDescent="0.25">
      <c r="A52" s="8">
        <v>414</v>
      </c>
      <c r="B52" s="2" t="s">
        <v>101</v>
      </c>
      <c r="C52" s="3">
        <v>44158</v>
      </c>
      <c r="D52" s="4"/>
      <c r="E52" s="5"/>
      <c r="F52" s="5">
        <v>36319</v>
      </c>
      <c r="G52" s="4"/>
      <c r="H52" s="4"/>
      <c r="I52" s="9" t="s">
        <v>20</v>
      </c>
      <c r="J52" s="7" t="s">
        <v>6</v>
      </c>
    </row>
    <row r="53" spans="1:10" x14ac:dyDescent="0.25">
      <c r="A53" s="2">
        <v>450</v>
      </c>
      <c r="B53" s="2" t="s">
        <v>102</v>
      </c>
      <c r="C53" s="3">
        <v>44622</v>
      </c>
      <c r="D53" s="4"/>
      <c r="E53" s="5"/>
      <c r="F53" s="5">
        <v>26383</v>
      </c>
      <c r="G53" s="4"/>
      <c r="H53" s="4"/>
      <c r="I53" s="6" t="s">
        <v>20</v>
      </c>
      <c r="J53" s="7" t="s">
        <v>6</v>
      </c>
    </row>
    <row r="54" spans="1:10" x14ac:dyDescent="0.25">
      <c r="A54" s="2">
        <v>245</v>
      </c>
      <c r="B54" s="2" t="s">
        <v>103</v>
      </c>
      <c r="C54" s="3">
        <v>39146</v>
      </c>
      <c r="D54" s="4"/>
      <c r="E54" s="5"/>
      <c r="F54" s="5">
        <v>31012</v>
      </c>
      <c r="G54" s="4"/>
      <c r="H54" s="4"/>
      <c r="I54" s="9" t="s">
        <v>21</v>
      </c>
      <c r="J54" s="7" t="s">
        <v>7</v>
      </c>
    </row>
    <row r="55" spans="1:10" x14ac:dyDescent="0.25">
      <c r="A55" s="2">
        <v>444</v>
      </c>
      <c r="B55" s="2" t="s">
        <v>104</v>
      </c>
      <c r="C55" s="3">
        <v>44585</v>
      </c>
      <c r="D55" s="4"/>
      <c r="E55" s="5"/>
      <c r="F55" s="5">
        <v>30930</v>
      </c>
      <c r="G55" s="4"/>
      <c r="H55" s="4"/>
      <c r="I55" s="9" t="s">
        <v>21</v>
      </c>
      <c r="J55" s="7" t="s">
        <v>6</v>
      </c>
    </row>
    <row r="56" spans="1:10" x14ac:dyDescent="0.25">
      <c r="A56" s="2">
        <v>60</v>
      </c>
      <c r="B56" s="2" t="s">
        <v>105</v>
      </c>
      <c r="C56" s="3">
        <v>33295</v>
      </c>
      <c r="D56" s="4"/>
      <c r="E56" s="5"/>
      <c r="F56" s="5">
        <v>25925</v>
      </c>
      <c r="G56" s="4"/>
      <c r="H56" s="4"/>
      <c r="I56" s="9" t="s">
        <v>20</v>
      </c>
      <c r="J56" s="7" t="s">
        <v>6</v>
      </c>
    </row>
    <row r="57" spans="1:10" x14ac:dyDescent="0.25">
      <c r="A57" s="2">
        <v>290</v>
      </c>
      <c r="B57" s="2" t="s">
        <v>108</v>
      </c>
      <c r="C57" s="3">
        <v>40436</v>
      </c>
      <c r="D57" s="4"/>
      <c r="E57" s="5"/>
      <c r="F57" s="5">
        <v>30689</v>
      </c>
      <c r="G57" s="4"/>
      <c r="H57" s="4"/>
      <c r="I57" s="9" t="s">
        <v>21</v>
      </c>
      <c r="J57" s="7" t="s">
        <v>6</v>
      </c>
    </row>
    <row r="58" spans="1:10" x14ac:dyDescent="0.25">
      <c r="A58" s="2">
        <v>479</v>
      </c>
      <c r="B58" s="2" t="s">
        <v>106</v>
      </c>
      <c r="C58" s="3">
        <v>45166</v>
      </c>
      <c r="D58" s="4"/>
      <c r="E58" s="5"/>
      <c r="F58" s="5">
        <v>27874</v>
      </c>
      <c r="G58" s="4"/>
      <c r="H58" s="4"/>
      <c r="I58" s="9" t="s">
        <v>21</v>
      </c>
      <c r="J58" s="7" t="s">
        <v>7</v>
      </c>
    </row>
    <row r="59" spans="1:10" x14ac:dyDescent="0.25">
      <c r="A59" s="2">
        <v>427</v>
      </c>
      <c r="B59" s="2" t="s">
        <v>193</v>
      </c>
      <c r="C59" s="3">
        <v>44263</v>
      </c>
      <c r="D59" s="4"/>
      <c r="E59" s="5"/>
      <c r="F59" s="5">
        <v>28984</v>
      </c>
      <c r="G59" s="4"/>
      <c r="H59" s="4"/>
      <c r="I59" s="9" t="s">
        <v>21</v>
      </c>
      <c r="J59" s="7" t="s">
        <v>6</v>
      </c>
    </row>
    <row r="60" spans="1:10" x14ac:dyDescent="0.25">
      <c r="A60" s="2">
        <v>258</v>
      </c>
      <c r="B60" s="2" t="s">
        <v>107</v>
      </c>
      <c r="C60" s="3">
        <v>39364</v>
      </c>
      <c r="D60" s="4"/>
      <c r="E60" s="5"/>
      <c r="F60" s="5">
        <v>22426</v>
      </c>
      <c r="G60" s="4"/>
      <c r="H60" s="4"/>
      <c r="I60" s="9" t="s">
        <v>22</v>
      </c>
      <c r="J60" s="7" t="s">
        <v>6</v>
      </c>
    </row>
    <row r="61" spans="1:10" x14ac:dyDescent="0.25">
      <c r="A61" s="2">
        <v>84</v>
      </c>
      <c r="B61" s="2" t="s">
        <v>109</v>
      </c>
      <c r="C61" s="3">
        <v>33574</v>
      </c>
      <c r="D61" s="4"/>
      <c r="E61" s="5"/>
      <c r="F61" s="5">
        <v>23432</v>
      </c>
      <c r="G61" s="4"/>
      <c r="H61" s="4"/>
      <c r="I61" s="9" t="s">
        <v>21</v>
      </c>
      <c r="J61" s="7" t="s">
        <v>7</v>
      </c>
    </row>
    <row r="62" spans="1:10" x14ac:dyDescent="0.25">
      <c r="A62" s="2">
        <v>225</v>
      </c>
      <c r="B62" s="2" t="s">
        <v>110</v>
      </c>
      <c r="C62" s="3">
        <v>42248</v>
      </c>
      <c r="D62" s="4"/>
      <c r="E62" s="5"/>
      <c r="F62" s="5">
        <v>25486</v>
      </c>
      <c r="G62" s="4"/>
      <c r="H62" s="4"/>
      <c r="I62" s="9" t="s">
        <v>21</v>
      </c>
      <c r="J62" s="7" t="s">
        <v>7</v>
      </c>
    </row>
    <row r="63" spans="1:10" x14ac:dyDescent="0.25">
      <c r="A63" s="2">
        <v>437</v>
      </c>
      <c r="B63" s="2" t="s">
        <v>111</v>
      </c>
      <c r="C63" s="3">
        <v>44424</v>
      </c>
      <c r="D63" s="4"/>
      <c r="E63" s="5"/>
      <c r="F63" s="5">
        <v>29721</v>
      </c>
      <c r="G63" s="4"/>
      <c r="H63" s="4"/>
      <c r="I63" s="6" t="s">
        <v>21</v>
      </c>
      <c r="J63" s="7" t="s">
        <v>7</v>
      </c>
    </row>
    <row r="64" spans="1:10" x14ac:dyDescent="0.25">
      <c r="A64" s="2">
        <v>445</v>
      </c>
      <c r="B64" s="2" t="s">
        <v>112</v>
      </c>
      <c r="C64" s="3">
        <v>44592</v>
      </c>
      <c r="D64" s="4"/>
      <c r="E64" s="5"/>
      <c r="F64" s="5">
        <v>35359</v>
      </c>
      <c r="G64" s="4"/>
      <c r="H64" s="4"/>
      <c r="I64" s="6" t="s">
        <v>20</v>
      </c>
      <c r="J64" s="7" t="s">
        <v>6</v>
      </c>
    </row>
    <row r="65" spans="1:10" x14ac:dyDescent="0.25">
      <c r="A65" s="2">
        <v>445</v>
      </c>
      <c r="B65" s="2" t="s">
        <v>112</v>
      </c>
      <c r="C65" s="3">
        <v>44592</v>
      </c>
      <c r="D65" s="4"/>
      <c r="E65" s="5"/>
      <c r="F65" s="5">
        <v>35359</v>
      </c>
      <c r="G65" s="4"/>
      <c r="H65" s="4"/>
      <c r="I65" s="6" t="s">
        <v>20</v>
      </c>
      <c r="J65" s="7" t="s">
        <v>6</v>
      </c>
    </row>
    <row r="66" spans="1:10" x14ac:dyDescent="0.25">
      <c r="A66" s="8">
        <v>485</v>
      </c>
      <c r="B66" s="2" t="s">
        <v>113</v>
      </c>
      <c r="C66" s="5">
        <v>45180</v>
      </c>
      <c r="D66" s="4"/>
      <c r="E66" s="5"/>
      <c r="F66" s="5">
        <v>34799</v>
      </c>
      <c r="G66" s="4"/>
      <c r="H66" s="4"/>
      <c r="I66" s="9" t="s">
        <v>20</v>
      </c>
      <c r="J66" s="7" t="s">
        <v>6</v>
      </c>
    </row>
    <row r="67" spans="1:10" x14ac:dyDescent="0.25">
      <c r="A67" s="8">
        <v>469</v>
      </c>
      <c r="B67" s="2" t="s">
        <v>114</v>
      </c>
      <c r="C67" s="3">
        <v>45075</v>
      </c>
      <c r="D67" s="4"/>
      <c r="E67" s="5"/>
      <c r="F67" s="5">
        <v>24772</v>
      </c>
      <c r="G67" s="4"/>
      <c r="H67" s="4"/>
      <c r="I67" s="9" t="s">
        <v>20</v>
      </c>
      <c r="J67" s="7" t="s">
        <v>6</v>
      </c>
    </row>
    <row r="68" spans="1:10" x14ac:dyDescent="0.25">
      <c r="A68" s="8">
        <v>484</v>
      </c>
      <c r="B68" s="2" t="s">
        <v>115</v>
      </c>
      <c r="C68" s="3">
        <v>45257</v>
      </c>
      <c r="D68" s="4"/>
      <c r="E68" s="5"/>
      <c r="F68" s="5">
        <v>36926</v>
      </c>
      <c r="G68" s="4"/>
      <c r="H68" s="4"/>
      <c r="I68" s="9" t="s">
        <v>20</v>
      </c>
      <c r="J68" s="7" t="s">
        <v>7</v>
      </c>
    </row>
    <row r="69" spans="1:10" x14ac:dyDescent="0.25">
      <c r="A69" s="8">
        <v>428</v>
      </c>
      <c r="B69" s="2" t="s">
        <v>116</v>
      </c>
      <c r="C69" s="3">
        <v>44264</v>
      </c>
      <c r="D69" s="4"/>
      <c r="E69" s="5"/>
      <c r="F69" s="5">
        <v>37494</v>
      </c>
      <c r="G69" s="4"/>
      <c r="H69" s="4"/>
      <c r="I69" s="9" t="s">
        <v>20</v>
      </c>
      <c r="J69" s="7" t="s">
        <v>6</v>
      </c>
    </row>
    <row r="70" spans="1:10" x14ac:dyDescent="0.25">
      <c r="A70" s="8">
        <v>395</v>
      </c>
      <c r="B70" s="2" t="s">
        <v>117</v>
      </c>
      <c r="C70" s="3">
        <v>44060</v>
      </c>
      <c r="D70" s="4"/>
      <c r="E70" s="5"/>
      <c r="F70" s="5">
        <v>29548</v>
      </c>
      <c r="G70" s="4"/>
      <c r="H70" s="4"/>
      <c r="I70" s="9" t="s">
        <v>20</v>
      </c>
      <c r="J70" s="7" t="s">
        <v>7</v>
      </c>
    </row>
    <row r="71" spans="1:10" x14ac:dyDescent="0.25">
      <c r="A71" s="8">
        <v>491</v>
      </c>
      <c r="B71" s="2" t="s">
        <v>171</v>
      </c>
      <c r="C71" s="3">
        <v>45537</v>
      </c>
      <c r="D71" s="4"/>
      <c r="E71" s="5"/>
      <c r="F71" s="5">
        <v>39047</v>
      </c>
      <c r="G71" s="4"/>
      <c r="H71" s="4"/>
      <c r="I71" s="9" t="s">
        <v>20</v>
      </c>
      <c r="J71" s="7" t="s">
        <v>6</v>
      </c>
    </row>
    <row r="72" spans="1:10" x14ac:dyDescent="0.25">
      <c r="A72" s="8">
        <v>480</v>
      </c>
      <c r="B72" s="2" t="s">
        <v>118</v>
      </c>
      <c r="C72" s="3">
        <v>45180</v>
      </c>
      <c r="D72" s="4"/>
      <c r="E72" s="5"/>
      <c r="F72" s="5">
        <v>27556</v>
      </c>
      <c r="G72" s="4"/>
      <c r="H72" s="4"/>
      <c r="I72" s="9" t="s">
        <v>20</v>
      </c>
      <c r="J72" s="7" t="s">
        <v>6</v>
      </c>
    </row>
    <row r="73" spans="1:10" x14ac:dyDescent="0.25">
      <c r="A73" s="8">
        <v>365</v>
      </c>
      <c r="B73" s="2" t="s">
        <v>119</v>
      </c>
      <c r="C73" s="3">
        <v>42681</v>
      </c>
      <c r="D73" s="4"/>
      <c r="E73" s="5"/>
      <c r="F73" s="5">
        <v>28046</v>
      </c>
      <c r="G73" s="4"/>
      <c r="H73" s="4"/>
      <c r="I73" s="9" t="s">
        <v>21</v>
      </c>
      <c r="J73" s="7" t="s">
        <v>7</v>
      </c>
    </row>
    <row r="74" spans="1:10" x14ac:dyDescent="0.25">
      <c r="A74" s="8">
        <v>378</v>
      </c>
      <c r="B74" s="2" t="s">
        <v>120</v>
      </c>
      <c r="C74" s="3">
        <v>43529</v>
      </c>
      <c r="D74" s="4"/>
      <c r="E74" s="5"/>
      <c r="F74" s="5">
        <v>26215</v>
      </c>
      <c r="G74" s="4"/>
      <c r="H74" s="4"/>
      <c r="I74" s="9" t="s">
        <v>20</v>
      </c>
      <c r="J74" s="7" t="s">
        <v>6</v>
      </c>
    </row>
    <row r="75" spans="1:10" x14ac:dyDescent="0.25">
      <c r="A75" s="2">
        <v>465</v>
      </c>
      <c r="B75" s="2" t="s">
        <v>121</v>
      </c>
      <c r="C75" s="3">
        <v>44991</v>
      </c>
      <c r="D75" s="4"/>
      <c r="E75" s="5"/>
      <c r="F75" s="5">
        <v>33877</v>
      </c>
      <c r="G75" s="4"/>
      <c r="H75" s="4"/>
      <c r="I75" s="6" t="s">
        <v>21</v>
      </c>
      <c r="J75" s="7" t="s">
        <v>7</v>
      </c>
    </row>
    <row r="76" spans="1:10" x14ac:dyDescent="0.25">
      <c r="A76" s="2">
        <v>348</v>
      </c>
      <c r="B76" s="2" t="s">
        <v>122</v>
      </c>
      <c r="C76" s="3">
        <v>42156</v>
      </c>
      <c r="D76" s="4"/>
      <c r="E76" s="5"/>
      <c r="F76" s="5">
        <v>29901</v>
      </c>
      <c r="G76" s="4"/>
      <c r="H76" s="4"/>
      <c r="I76" s="6" t="s">
        <v>21</v>
      </c>
      <c r="J76" s="7" t="s">
        <v>6</v>
      </c>
    </row>
    <row r="77" spans="1:10" x14ac:dyDescent="0.25">
      <c r="A77" s="2">
        <v>399</v>
      </c>
      <c r="B77" s="2" t="s">
        <v>123</v>
      </c>
      <c r="C77" s="3">
        <v>44068</v>
      </c>
      <c r="D77" s="4"/>
      <c r="E77" s="5"/>
      <c r="F77" s="5">
        <v>36405</v>
      </c>
      <c r="G77" s="4"/>
      <c r="H77" s="4"/>
      <c r="I77" s="6" t="s">
        <v>20</v>
      </c>
      <c r="J77" s="7" t="s">
        <v>6</v>
      </c>
    </row>
    <row r="78" spans="1:10" x14ac:dyDescent="0.25">
      <c r="A78" s="2">
        <v>412</v>
      </c>
      <c r="B78" s="2" t="s">
        <v>124</v>
      </c>
      <c r="C78" s="3">
        <v>44109</v>
      </c>
      <c r="D78" s="4"/>
      <c r="E78" s="5"/>
      <c r="F78" s="5">
        <v>35685</v>
      </c>
      <c r="G78" s="4"/>
      <c r="H78" s="4"/>
      <c r="I78" s="6" t="s">
        <v>20</v>
      </c>
      <c r="J78" s="7" t="s">
        <v>6</v>
      </c>
    </row>
    <row r="79" spans="1:10" x14ac:dyDescent="0.25">
      <c r="A79" s="2">
        <v>157</v>
      </c>
      <c r="B79" s="2" t="s">
        <v>125</v>
      </c>
      <c r="C79" s="3">
        <v>37803</v>
      </c>
      <c r="D79" s="4"/>
      <c r="E79" s="5"/>
      <c r="F79" s="5">
        <v>25068</v>
      </c>
      <c r="G79" s="4"/>
      <c r="H79" s="4"/>
      <c r="I79" s="6" t="s">
        <v>20</v>
      </c>
      <c r="J79" s="7" t="s">
        <v>6</v>
      </c>
    </row>
    <row r="80" spans="1:10" x14ac:dyDescent="0.25">
      <c r="A80" s="2">
        <v>400</v>
      </c>
      <c r="B80" s="2" t="s">
        <v>126</v>
      </c>
      <c r="C80" s="3">
        <v>43871</v>
      </c>
      <c r="D80" s="4"/>
      <c r="E80" s="5"/>
      <c r="F80" s="5">
        <v>28137</v>
      </c>
      <c r="G80" s="4"/>
      <c r="H80" s="4"/>
      <c r="I80" s="6" t="s">
        <v>20</v>
      </c>
      <c r="J80" s="7" t="s">
        <v>6</v>
      </c>
    </row>
    <row r="81" spans="1:10" x14ac:dyDescent="0.25">
      <c r="A81" s="2">
        <v>183</v>
      </c>
      <c r="B81" s="2" t="s">
        <v>127</v>
      </c>
      <c r="C81" s="3">
        <v>37949</v>
      </c>
      <c r="D81" s="4"/>
      <c r="E81" s="5"/>
      <c r="F81" s="5">
        <v>25057</v>
      </c>
      <c r="G81" s="4"/>
      <c r="H81" s="4"/>
      <c r="I81" s="6" t="s">
        <v>20</v>
      </c>
      <c r="J81" s="7" t="s">
        <v>6</v>
      </c>
    </row>
    <row r="82" spans="1:10" x14ac:dyDescent="0.25">
      <c r="A82" s="2">
        <v>446</v>
      </c>
      <c r="B82" s="2" t="s">
        <v>128</v>
      </c>
      <c r="C82" s="3">
        <v>44601</v>
      </c>
      <c r="D82" s="4"/>
      <c r="E82" s="5"/>
      <c r="F82" s="5">
        <v>26981</v>
      </c>
      <c r="G82" s="4"/>
      <c r="H82" s="4"/>
      <c r="I82" s="9" t="s">
        <v>20</v>
      </c>
      <c r="J82" s="7" t="s">
        <v>6</v>
      </c>
    </row>
    <row r="83" spans="1:10" x14ac:dyDescent="0.25">
      <c r="A83" s="2">
        <v>483</v>
      </c>
      <c r="B83" s="2" t="s">
        <v>129</v>
      </c>
      <c r="C83" s="3">
        <v>45229</v>
      </c>
      <c r="D83" s="4"/>
      <c r="E83" s="5"/>
      <c r="F83" s="5">
        <v>31614</v>
      </c>
      <c r="G83" s="4"/>
      <c r="H83" s="4"/>
      <c r="I83" s="6" t="s">
        <v>20</v>
      </c>
      <c r="J83" s="7" t="s">
        <v>6</v>
      </c>
    </row>
    <row r="84" spans="1:10" x14ac:dyDescent="0.25">
      <c r="A84" s="2">
        <v>417</v>
      </c>
      <c r="B84" s="2" t="s">
        <v>130</v>
      </c>
      <c r="C84" s="3">
        <v>44200</v>
      </c>
      <c r="D84" s="4"/>
      <c r="E84" s="5"/>
      <c r="F84" s="5">
        <v>35587</v>
      </c>
      <c r="G84" s="4"/>
      <c r="H84" s="4"/>
      <c r="I84" s="9" t="s">
        <v>21</v>
      </c>
      <c r="J84" s="7" t="s">
        <v>6</v>
      </c>
    </row>
    <row r="85" spans="1:10" x14ac:dyDescent="0.25">
      <c r="A85" s="2">
        <v>191</v>
      </c>
      <c r="B85" s="2" t="s">
        <v>132</v>
      </c>
      <c r="C85" s="3">
        <v>38292</v>
      </c>
      <c r="D85" s="4"/>
      <c r="E85" s="5"/>
      <c r="F85" s="5">
        <v>29865</v>
      </c>
      <c r="G85" s="4"/>
      <c r="H85" s="4"/>
      <c r="I85" s="9" t="s">
        <v>22</v>
      </c>
      <c r="J85" s="7" t="s">
        <v>6</v>
      </c>
    </row>
    <row r="86" spans="1:10" x14ac:dyDescent="0.25">
      <c r="A86" s="2">
        <v>39</v>
      </c>
      <c r="B86" s="2" t="s">
        <v>131</v>
      </c>
      <c r="C86" s="3">
        <v>34633</v>
      </c>
      <c r="D86" s="4"/>
      <c r="E86" s="5"/>
      <c r="F86" s="5">
        <v>26741</v>
      </c>
      <c r="G86" s="4"/>
      <c r="H86" s="4"/>
      <c r="I86" s="6" t="s">
        <v>20</v>
      </c>
      <c r="J86" s="7" t="s">
        <v>6</v>
      </c>
    </row>
    <row r="87" spans="1:10" x14ac:dyDescent="0.25">
      <c r="A87" s="2">
        <v>65</v>
      </c>
      <c r="B87" s="2" t="s">
        <v>133</v>
      </c>
      <c r="C87" s="3">
        <v>36579</v>
      </c>
      <c r="D87" s="4"/>
      <c r="E87" s="5"/>
      <c r="F87" s="5">
        <v>24763</v>
      </c>
      <c r="G87" s="4"/>
      <c r="H87" s="4"/>
      <c r="I87" s="9" t="s">
        <v>20</v>
      </c>
      <c r="J87" s="7" t="s">
        <v>6</v>
      </c>
    </row>
    <row r="88" spans="1:10" x14ac:dyDescent="0.25">
      <c r="A88" s="8">
        <v>408</v>
      </c>
      <c r="B88" s="2" t="s">
        <v>134</v>
      </c>
      <c r="C88" s="3">
        <v>44564</v>
      </c>
      <c r="D88" s="4"/>
      <c r="E88" s="5"/>
      <c r="F88" s="5">
        <v>33332</v>
      </c>
      <c r="G88" s="4"/>
      <c r="H88" s="4"/>
      <c r="I88" s="9" t="s">
        <v>20</v>
      </c>
      <c r="J88" s="7" t="s">
        <v>6</v>
      </c>
    </row>
    <row r="89" spans="1:10" x14ac:dyDescent="0.25">
      <c r="A89" s="8">
        <v>435</v>
      </c>
      <c r="B89" s="2" t="s">
        <v>135</v>
      </c>
      <c r="C89" s="3">
        <v>44424</v>
      </c>
      <c r="D89" s="4"/>
      <c r="E89" s="5"/>
      <c r="F89" s="5">
        <v>26201</v>
      </c>
      <c r="G89" s="4"/>
      <c r="H89" s="4"/>
      <c r="I89" s="9" t="s">
        <v>20</v>
      </c>
      <c r="J89" s="7" t="s">
        <v>6</v>
      </c>
    </row>
    <row r="90" spans="1:10" x14ac:dyDescent="0.25">
      <c r="A90" s="8">
        <v>63</v>
      </c>
      <c r="B90" s="2" t="s">
        <v>136</v>
      </c>
      <c r="C90" s="3">
        <v>33292</v>
      </c>
      <c r="D90" s="4"/>
      <c r="E90" s="5"/>
      <c r="F90" s="5">
        <v>25332</v>
      </c>
      <c r="G90" s="4"/>
      <c r="H90" s="4"/>
      <c r="I90" s="9" t="s">
        <v>20</v>
      </c>
      <c r="J90" s="7" t="s">
        <v>6</v>
      </c>
    </row>
    <row r="91" spans="1:10" x14ac:dyDescent="0.25">
      <c r="A91" s="8">
        <v>456</v>
      </c>
      <c r="B91" s="2" t="s">
        <v>137</v>
      </c>
      <c r="C91" s="3">
        <v>44802</v>
      </c>
      <c r="D91" s="4"/>
      <c r="E91" s="5"/>
      <c r="F91" s="5">
        <v>26060</v>
      </c>
      <c r="G91" s="4"/>
      <c r="H91" s="4"/>
      <c r="I91" s="9" t="s">
        <v>20</v>
      </c>
      <c r="J91" s="7" t="s">
        <v>6</v>
      </c>
    </row>
    <row r="92" spans="1:10" x14ac:dyDescent="0.25">
      <c r="A92" s="2">
        <v>59</v>
      </c>
      <c r="B92" s="2" t="s">
        <v>138</v>
      </c>
      <c r="C92" s="3">
        <v>33298</v>
      </c>
      <c r="D92" s="4"/>
      <c r="E92" s="5"/>
      <c r="F92" s="5">
        <v>24510</v>
      </c>
      <c r="G92" s="4"/>
      <c r="H92" s="4"/>
      <c r="I92" s="6" t="s">
        <v>20</v>
      </c>
      <c r="J92" s="7" t="s">
        <v>6</v>
      </c>
    </row>
    <row r="93" spans="1:10" x14ac:dyDescent="0.25">
      <c r="A93" s="2">
        <v>489</v>
      </c>
      <c r="B93" s="2" t="s">
        <v>145</v>
      </c>
      <c r="C93" s="3">
        <v>45157</v>
      </c>
      <c r="D93" s="4"/>
      <c r="E93" s="5"/>
      <c r="F93" s="5">
        <v>38118</v>
      </c>
      <c r="G93" s="4"/>
      <c r="H93" s="4"/>
      <c r="I93" s="6" t="s">
        <v>20</v>
      </c>
      <c r="J93" s="7" t="s">
        <v>7</v>
      </c>
    </row>
    <row r="94" spans="1:10" x14ac:dyDescent="0.25">
      <c r="A94" s="2">
        <v>452</v>
      </c>
      <c r="B94" s="2" t="s">
        <v>187</v>
      </c>
      <c r="C94" s="3">
        <v>44733</v>
      </c>
      <c r="D94" s="4"/>
      <c r="E94" s="5"/>
      <c r="F94" s="5">
        <v>36405</v>
      </c>
      <c r="G94" s="4"/>
      <c r="H94" s="4"/>
      <c r="I94" s="6" t="s">
        <v>20</v>
      </c>
      <c r="J94" s="7" t="s">
        <v>6</v>
      </c>
    </row>
    <row r="95" spans="1:10" x14ac:dyDescent="0.25">
      <c r="A95" s="2">
        <v>48</v>
      </c>
      <c r="B95" s="2" t="s">
        <v>139</v>
      </c>
      <c r="C95" s="3">
        <v>33338</v>
      </c>
      <c r="D95" s="4"/>
      <c r="E95" s="5"/>
      <c r="F95" s="5">
        <v>25875</v>
      </c>
      <c r="G95" s="4"/>
      <c r="H95" s="4"/>
      <c r="I95" s="6" t="s">
        <v>21</v>
      </c>
      <c r="J95" s="7" t="s">
        <v>6</v>
      </c>
    </row>
    <row r="96" spans="1:10" x14ac:dyDescent="0.25">
      <c r="A96" s="2">
        <v>307</v>
      </c>
      <c r="B96" s="2" t="s">
        <v>140</v>
      </c>
      <c r="C96" s="3">
        <v>40910</v>
      </c>
      <c r="D96" s="4"/>
      <c r="E96" s="5"/>
      <c r="F96" s="5">
        <v>28179</v>
      </c>
      <c r="G96" s="4"/>
      <c r="H96" s="4"/>
      <c r="I96" s="6" t="s">
        <v>21</v>
      </c>
      <c r="J96" s="7" t="s">
        <v>7</v>
      </c>
    </row>
    <row r="97" spans="1:10" x14ac:dyDescent="0.25">
      <c r="A97" s="2">
        <v>329</v>
      </c>
      <c r="B97" s="2" t="s">
        <v>215</v>
      </c>
      <c r="C97" s="3">
        <v>41645</v>
      </c>
      <c r="D97" s="4"/>
      <c r="E97" s="5"/>
      <c r="F97" s="5">
        <v>28416</v>
      </c>
      <c r="G97" s="4"/>
      <c r="H97" s="4"/>
      <c r="I97" s="6" t="s">
        <v>22</v>
      </c>
      <c r="J97" s="7" t="s">
        <v>6</v>
      </c>
    </row>
    <row r="98" spans="1:10" x14ac:dyDescent="0.25">
      <c r="A98" s="8">
        <v>486</v>
      </c>
      <c r="B98" s="2" t="s">
        <v>141</v>
      </c>
      <c r="C98" s="3">
        <v>45187</v>
      </c>
      <c r="D98" s="4"/>
      <c r="E98" s="5"/>
      <c r="F98" s="5">
        <v>29883</v>
      </c>
      <c r="G98" s="4"/>
      <c r="H98" s="4"/>
      <c r="I98" s="9" t="s">
        <v>20</v>
      </c>
      <c r="J98" s="7" t="s">
        <v>6</v>
      </c>
    </row>
    <row r="99" spans="1:10" x14ac:dyDescent="0.25">
      <c r="A99" s="8">
        <v>366</v>
      </c>
      <c r="B99" s="2" t="s">
        <v>142</v>
      </c>
      <c r="C99" s="3">
        <v>42905</v>
      </c>
      <c r="D99" s="4"/>
      <c r="E99" s="5"/>
      <c r="F99" s="5">
        <v>31735</v>
      </c>
      <c r="G99" s="4"/>
      <c r="H99" s="4"/>
      <c r="I99" s="9" t="s">
        <v>20</v>
      </c>
      <c r="J99" s="7" t="s">
        <v>6</v>
      </c>
    </row>
    <row r="100" spans="1:10" x14ac:dyDescent="0.25">
      <c r="A100" s="8">
        <v>448</v>
      </c>
      <c r="B100" s="2" t="s">
        <v>239</v>
      </c>
      <c r="C100" s="3">
        <v>44620</v>
      </c>
      <c r="D100" s="4"/>
      <c r="E100" s="5"/>
      <c r="F100" s="5">
        <v>28744</v>
      </c>
      <c r="G100" s="4"/>
      <c r="H100" s="4"/>
      <c r="I100" s="9" t="s">
        <v>20</v>
      </c>
      <c r="J100" s="7" t="s">
        <v>6</v>
      </c>
    </row>
    <row r="101" spans="1:10" x14ac:dyDescent="0.25">
      <c r="A101" s="8">
        <v>490</v>
      </c>
      <c r="B101" s="2" t="s">
        <v>172</v>
      </c>
      <c r="C101" s="3">
        <v>45537</v>
      </c>
      <c r="D101" s="4"/>
      <c r="E101" s="5"/>
      <c r="F101" s="5">
        <v>26745</v>
      </c>
      <c r="G101" s="4"/>
      <c r="H101" s="4"/>
      <c r="I101" s="9" t="s">
        <v>20</v>
      </c>
      <c r="J101" s="7" t="s">
        <v>6</v>
      </c>
    </row>
    <row r="102" spans="1:10" x14ac:dyDescent="0.25">
      <c r="A102" s="2">
        <v>326</v>
      </c>
      <c r="B102" s="2" t="s">
        <v>143</v>
      </c>
      <c r="C102" s="3">
        <v>41505</v>
      </c>
      <c r="D102" s="4"/>
      <c r="E102" s="5"/>
      <c r="F102" s="5">
        <v>34163</v>
      </c>
      <c r="G102" s="4"/>
      <c r="H102" s="4"/>
      <c r="I102" s="6" t="s">
        <v>21</v>
      </c>
      <c r="J102" s="7" t="s">
        <v>6</v>
      </c>
    </row>
    <row r="103" spans="1:10" ht="18" customHeight="1" x14ac:dyDescent="0.25">
      <c r="A103" s="2">
        <v>190</v>
      </c>
      <c r="B103" s="2" t="s">
        <v>144</v>
      </c>
      <c r="C103" s="3">
        <v>38169</v>
      </c>
      <c r="D103" s="4"/>
      <c r="E103" s="5"/>
      <c r="F103" s="5">
        <v>25066</v>
      </c>
      <c r="G103" s="4"/>
      <c r="H103" s="4"/>
      <c r="I103" s="6" t="s">
        <v>20</v>
      </c>
      <c r="J103" s="7" t="s">
        <v>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52"/>
  <sheetViews>
    <sheetView tabSelected="1" topLeftCell="A94" workbookViewId="0">
      <selection activeCell="B116" sqref="B116"/>
    </sheetView>
  </sheetViews>
  <sheetFormatPr baseColWidth="10" defaultRowHeight="15" x14ac:dyDescent="0.25"/>
  <cols>
    <col min="1" max="1" width="8" style="13" customWidth="1"/>
    <col min="2" max="2" width="62.85546875" customWidth="1"/>
  </cols>
  <sheetData>
    <row r="4" spans="1:4" x14ac:dyDescent="0.25">
      <c r="A4" s="14" t="s">
        <v>223</v>
      </c>
      <c r="B4" s="10" t="s">
        <v>224</v>
      </c>
      <c r="C4" t="s">
        <v>278</v>
      </c>
    </row>
    <row r="5" spans="1:4" x14ac:dyDescent="0.25">
      <c r="A5" s="13">
        <v>1001</v>
      </c>
      <c r="B5" t="s">
        <v>240</v>
      </c>
      <c r="C5">
        <v>21</v>
      </c>
    </row>
    <row r="6" spans="1:4" x14ac:dyDescent="0.25">
      <c r="A6" s="13">
        <v>1002</v>
      </c>
      <c r="B6" t="s">
        <v>204</v>
      </c>
      <c r="C6">
        <v>14</v>
      </c>
    </row>
    <row r="7" spans="1:4" x14ac:dyDescent="0.25">
      <c r="A7" s="13">
        <v>1003</v>
      </c>
      <c r="B7" t="s">
        <v>205</v>
      </c>
      <c r="C7">
        <v>7</v>
      </c>
      <c r="D7" t="s">
        <v>280</v>
      </c>
    </row>
    <row r="8" spans="1:4" x14ac:dyDescent="0.25">
      <c r="A8" s="13">
        <v>1004</v>
      </c>
      <c r="B8" t="s">
        <v>206</v>
      </c>
      <c r="C8">
        <v>7</v>
      </c>
    </row>
    <row r="9" spans="1:4" x14ac:dyDescent="0.25">
      <c r="A9" s="13">
        <v>1005</v>
      </c>
      <c r="B9" t="s">
        <v>212</v>
      </c>
    </row>
    <row r="10" spans="1:4" x14ac:dyDescent="0.25">
      <c r="A10" s="13">
        <v>1006</v>
      </c>
      <c r="B10" t="s">
        <v>150</v>
      </c>
      <c r="C10">
        <v>14</v>
      </c>
    </row>
    <row r="11" spans="1:4" x14ac:dyDescent="0.25">
      <c r="A11" s="13">
        <v>1007</v>
      </c>
      <c r="B11" t="s">
        <v>284</v>
      </c>
      <c r="C11">
        <v>10.5</v>
      </c>
    </row>
    <row r="12" spans="1:4" x14ac:dyDescent="0.25">
      <c r="A12" s="13">
        <v>1008</v>
      </c>
      <c r="B12" t="s">
        <v>241</v>
      </c>
      <c r="C12">
        <v>7</v>
      </c>
      <c r="D12" t="s">
        <v>280</v>
      </c>
    </row>
    <row r="13" spans="1:4" x14ac:dyDescent="0.25">
      <c r="A13" s="63">
        <v>1034</v>
      </c>
      <c r="B13" t="s">
        <v>306</v>
      </c>
      <c r="C13">
        <v>21</v>
      </c>
    </row>
    <row r="14" spans="1:4" x14ac:dyDescent="0.25">
      <c r="A14" s="13">
        <v>1009</v>
      </c>
      <c r="B14" t="s">
        <v>221</v>
      </c>
      <c r="C14">
        <v>2</v>
      </c>
    </row>
    <row r="15" spans="1:4" x14ac:dyDescent="0.25">
      <c r="A15" s="13">
        <v>1010</v>
      </c>
      <c r="B15" t="s">
        <v>222</v>
      </c>
      <c r="C15">
        <v>2</v>
      </c>
    </row>
    <row r="16" spans="1:4" x14ac:dyDescent="0.25">
      <c r="A16" s="13">
        <v>1011</v>
      </c>
      <c r="B16" t="s">
        <v>173</v>
      </c>
    </row>
    <row r="17" spans="1:3" x14ac:dyDescent="0.25">
      <c r="A17" s="13">
        <v>1012</v>
      </c>
      <c r="B17" t="s">
        <v>242</v>
      </c>
      <c r="C17">
        <v>3.5</v>
      </c>
    </row>
    <row r="18" spans="1:3" x14ac:dyDescent="0.25">
      <c r="A18" s="13">
        <v>1013</v>
      </c>
      <c r="B18" t="s">
        <v>243</v>
      </c>
      <c r="C18">
        <v>14</v>
      </c>
    </row>
    <row r="19" spans="1:3" x14ac:dyDescent="0.25">
      <c r="A19" s="13">
        <v>1014</v>
      </c>
      <c r="B19" t="s">
        <v>161</v>
      </c>
    </row>
    <row r="20" spans="1:3" x14ac:dyDescent="0.25">
      <c r="A20" s="13">
        <v>1015</v>
      </c>
      <c r="B20" t="s">
        <v>234</v>
      </c>
    </row>
    <row r="21" spans="1:3" x14ac:dyDescent="0.25">
      <c r="A21" s="13">
        <v>1016</v>
      </c>
      <c r="B21" t="s">
        <v>207</v>
      </c>
      <c r="C21">
        <v>14</v>
      </c>
    </row>
    <row r="22" spans="1:3" x14ac:dyDescent="0.25">
      <c r="A22" s="13">
        <v>1017</v>
      </c>
      <c r="B22" t="s">
        <v>303</v>
      </c>
      <c r="C22">
        <v>7</v>
      </c>
    </row>
    <row r="23" spans="1:3" x14ac:dyDescent="0.25">
      <c r="A23" s="13">
        <v>1034</v>
      </c>
      <c r="B23" t="s">
        <v>316</v>
      </c>
      <c r="C23">
        <v>7</v>
      </c>
    </row>
    <row r="24" spans="1:3" x14ac:dyDescent="0.25">
      <c r="A24" s="13">
        <v>1018</v>
      </c>
      <c r="B24" t="s">
        <v>209</v>
      </c>
      <c r="C24">
        <v>7</v>
      </c>
    </row>
    <row r="25" spans="1:3" x14ac:dyDescent="0.25">
      <c r="A25" s="13">
        <v>1019</v>
      </c>
      <c r="B25" t="s">
        <v>237</v>
      </c>
    </row>
    <row r="26" spans="1:3" x14ac:dyDescent="0.25">
      <c r="A26" s="13">
        <v>1020</v>
      </c>
      <c r="B26" t="s">
        <v>202</v>
      </c>
      <c r="C26">
        <v>3.5</v>
      </c>
    </row>
    <row r="27" spans="1:3" x14ac:dyDescent="0.25">
      <c r="A27" s="13">
        <v>1021</v>
      </c>
      <c r="B27" t="s">
        <v>230</v>
      </c>
    </row>
    <row r="28" spans="1:3" x14ac:dyDescent="0.25">
      <c r="A28" s="13">
        <v>1022</v>
      </c>
      <c r="B28" t="s">
        <v>220</v>
      </c>
      <c r="C28">
        <v>0.17</v>
      </c>
    </row>
    <row r="29" spans="1:3" x14ac:dyDescent="0.25">
      <c r="A29" s="13">
        <v>1023</v>
      </c>
      <c r="B29" t="s">
        <v>192</v>
      </c>
    </row>
    <row r="30" spans="1:3" x14ac:dyDescent="0.25">
      <c r="A30" s="13">
        <v>1024</v>
      </c>
      <c r="B30" t="s">
        <v>203</v>
      </c>
    </row>
    <row r="31" spans="1:3" x14ac:dyDescent="0.25">
      <c r="A31" s="13">
        <v>1025</v>
      </c>
      <c r="B31" t="s">
        <v>154</v>
      </c>
    </row>
    <row r="32" spans="1:3" x14ac:dyDescent="0.25">
      <c r="A32" s="13">
        <v>1026</v>
      </c>
      <c r="B32" t="s">
        <v>179</v>
      </c>
    </row>
    <row r="33" spans="1:2" x14ac:dyDescent="0.25">
      <c r="A33" s="13">
        <v>1027</v>
      </c>
      <c r="B33" t="s">
        <v>155</v>
      </c>
    </row>
    <row r="34" spans="1:2" x14ac:dyDescent="0.25">
      <c r="A34" s="13">
        <v>1028</v>
      </c>
      <c r="B34" t="s">
        <v>175</v>
      </c>
    </row>
    <row r="35" spans="1:2" x14ac:dyDescent="0.25">
      <c r="A35" s="13">
        <v>1029</v>
      </c>
      <c r="B35" t="s">
        <v>218</v>
      </c>
    </row>
    <row r="36" spans="1:2" x14ac:dyDescent="0.25">
      <c r="A36" s="13">
        <v>1030</v>
      </c>
      <c r="B36" t="s">
        <v>146</v>
      </c>
    </row>
    <row r="37" spans="1:2" x14ac:dyDescent="0.25">
      <c r="A37" s="13">
        <v>1031</v>
      </c>
      <c r="B37" t="s">
        <v>189</v>
      </c>
    </row>
    <row r="38" spans="1:2" x14ac:dyDescent="0.25">
      <c r="A38" s="13">
        <v>1032</v>
      </c>
      <c r="B38" t="s">
        <v>210</v>
      </c>
    </row>
    <row r="39" spans="1:2" x14ac:dyDescent="0.25">
      <c r="A39" s="13">
        <v>1033</v>
      </c>
      <c r="B39" t="s">
        <v>248</v>
      </c>
    </row>
    <row r="48" spans="1:2" x14ac:dyDescent="0.25">
      <c r="A48" s="13">
        <v>2001</v>
      </c>
      <c r="B48" t="s">
        <v>168</v>
      </c>
    </row>
    <row r="49" spans="1:3" x14ac:dyDescent="0.25">
      <c r="A49" s="13">
        <v>2002</v>
      </c>
      <c r="B49" t="s">
        <v>191</v>
      </c>
    </row>
    <row r="50" spans="1:3" x14ac:dyDescent="0.25">
      <c r="A50" s="13">
        <v>2003</v>
      </c>
      <c r="B50" t="s">
        <v>244</v>
      </c>
    </row>
    <row r="51" spans="1:3" x14ac:dyDescent="0.25">
      <c r="A51" s="13">
        <v>2004</v>
      </c>
      <c r="B51" t="s">
        <v>214</v>
      </c>
    </row>
    <row r="52" spans="1:3" x14ac:dyDescent="0.25">
      <c r="A52" s="13">
        <v>2005</v>
      </c>
      <c r="B52" t="s">
        <v>153</v>
      </c>
      <c r="C52">
        <v>2</v>
      </c>
    </row>
    <row r="53" spans="1:3" x14ac:dyDescent="0.25">
      <c r="A53" s="13">
        <v>2006</v>
      </c>
      <c r="B53" t="s">
        <v>163</v>
      </c>
    </row>
    <row r="54" spans="1:3" x14ac:dyDescent="0.25">
      <c r="A54" s="13">
        <v>2007</v>
      </c>
      <c r="B54" t="s">
        <v>245</v>
      </c>
    </row>
    <row r="55" spans="1:3" x14ac:dyDescent="0.25">
      <c r="A55" s="13">
        <v>2008</v>
      </c>
      <c r="B55" t="s">
        <v>8</v>
      </c>
    </row>
    <row r="56" spans="1:3" x14ac:dyDescent="0.25">
      <c r="A56" s="13">
        <v>2009</v>
      </c>
      <c r="B56" t="s">
        <v>211</v>
      </c>
    </row>
    <row r="57" spans="1:3" x14ac:dyDescent="0.25">
      <c r="A57" s="13">
        <v>2010</v>
      </c>
      <c r="B57" t="s">
        <v>9</v>
      </c>
    </row>
    <row r="58" spans="1:3" x14ac:dyDescent="0.25">
      <c r="A58" s="13">
        <v>2011</v>
      </c>
      <c r="B58" t="s">
        <v>217</v>
      </c>
    </row>
    <row r="59" spans="1:3" x14ac:dyDescent="0.25">
      <c r="A59" s="13">
        <v>2012</v>
      </c>
      <c r="B59" t="s">
        <v>184</v>
      </c>
    </row>
    <row r="60" spans="1:3" x14ac:dyDescent="0.25">
      <c r="A60" s="13">
        <v>2013</v>
      </c>
      <c r="B60" t="s">
        <v>177</v>
      </c>
    </row>
    <row r="61" spans="1:3" x14ac:dyDescent="0.25">
      <c r="A61" s="13">
        <v>2014</v>
      </c>
      <c r="B61" t="s">
        <v>195</v>
      </c>
    </row>
    <row r="62" spans="1:3" x14ac:dyDescent="0.25">
      <c r="A62" s="13">
        <v>2015</v>
      </c>
      <c r="B62" t="s">
        <v>197</v>
      </c>
      <c r="C62">
        <v>7</v>
      </c>
    </row>
    <row r="63" spans="1:3" x14ac:dyDescent="0.25">
      <c r="A63" s="13">
        <v>2016</v>
      </c>
      <c r="B63" t="s">
        <v>176</v>
      </c>
      <c r="C63">
        <v>28</v>
      </c>
    </row>
    <row r="64" spans="1:3" x14ac:dyDescent="0.25">
      <c r="A64" s="13">
        <v>2017</v>
      </c>
      <c r="B64" s="15" t="s">
        <v>219</v>
      </c>
    </row>
    <row r="65" spans="1:3" x14ac:dyDescent="0.25">
      <c r="A65" s="13">
        <v>2018</v>
      </c>
      <c r="B65" s="15" t="s">
        <v>233</v>
      </c>
    </row>
    <row r="66" spans="1:3" x14ac:dyDescent="0.25">
      <c r="A66" s="13">
        <v>2019</v>
      </c>
      <c r="B66" s="15" t="s">
        <v>10</v>
      </c>
    </row>
    <row r="67" spans="1:3" x14ac:dyDescent="0.25">
      <c r="A67" s="13">
        <v>2020</v>
      </c>
      <c r="B67" s="15" t="s">
        <v>196</v>
      </c>
      <c r="C67">
        <v>1.5</v>
      </c>
    </row>
    <row r="68" spans="1:3" x14ac:dyDescent="0.25">
      <c r="A68" s="13">
        <v>2021</v>
      </c>
      <c r="B68" s="15" t="s">
        <v>259</v>
      </c>
    </row>
    <row r="69" spans="1:3" x14ac:dyDescent="0.25">
      <c r="A69" s="13">
        <v>2022</v>
      </c>
      <c r="B69" s="15" t="s">
        <v>231</v>
      </c>
    </row>
    <row r="70" spans="1:3" x14ac:dyDescent="0.25">
      <c r="A70" s="13">
        <v>2023</v>
      </c>
      <c r="B70" s="15" t="s">
        <v>232</v>
      </c>
    </row>
    <row r="71" spans="1:3" x14ac:dyDescent="0.25">
      <c r="A71" s="13">
        <v>2024</v>
      </c>
      <c r="B71" s="15" t="s">
        <v>236</v>
      </c>
    </row>
    <row r="72" spans="1:3" x14ac:dyDescent="0.25">
      <c r="A72" s="13">
        <v>2025</v>
      </c>
      <c r="B72" s="15" t="s">
        <v>199</v>
      </c>
    </row>
    <row r="73" spans="1:3" x14ac:dyDescent="0.25">
      <c r="A73" s="13">
        <v>2026</v>
      </c>
      <c r="B73" s="15" t="s">
        <v>198</v>
      </c>
    </row>
    <row r="74" spans="1:3" x14ac:dyDescent="0.25">
      <c r="A74" s="13">
        <v>2027</v>
      </c>
      <c r="B74" s="15" t="s">
        <v>194</v>
      </c>
    </row>
    <row r="75" spans="1:3" x14ac:dyDescent="0.25">
      <c r="A75" s="13">
        <v>2028</v>
      </c>
      <c r="B75" s="15" t="s">
        <v>11</v>
      </c>
    </row>
    <row r="76" spans="1:3" x14ac:dyDescent="0.25">
      <c r="A76" s="13">
        <v>2029</v>
      </c>
      <c r="B76" s="15" t="s">
        <v>12</v>
      </c>
    </row>
    <row r="77" spans="1:3" x14ac:dyDescent="0.25">
      <c r="A77" s="13">
        <v>2030</v>
      </c>
      <c r="B77" s="15" t="s">
        <v>14</v>
      </c>
    </row>
    <row r="78" spans="1:3" x14ac:dyDescent="0.25">
      <c r="A78" s="13">
        <v>2031</v>
      </c>
      <c r="B78" s="15" t="s">
        <v>180</v>
      </c>
      <c r="C78">
        <v>2</v>
      </c>
    </row>
    <row r="79" spans="1:3" x14ac:dyDescent="0.25">
      <c r="A79" s="13">
        <v>2032</v>
      </c>
      <c r="B79" s="15" t="s">
        <v>188</v>
      </c>
    </row>
    <row r="80" spans="1:3" x14ac:dyDescent="0.25">
      <c r="A80" s="13">
        <v>2033</v>
      </c>
      <c r="B80" s="15" t="s">
        <v>190</v>
      </c>
    </row>
    <row r="81" spans="1:3" x14ac:dyDescent="0.25">
      <c r="A81" s="13">
        <v>2034</v>
      </c>
      <c r="B81" s="15" t="s">
        <v>307</v>
      </c>
      <c r="C81">
        <v>14</v>
      </c>
    </row>
    <row r="82" spans="1:3" x14ac:dyDescent="0.25">
      <c r="A82" s="13">
        <v>2035</v>
      </c>
      <c r="B82" s="15" t="s">
        <v>13</v>
      </c>
    </row>
    <row r="83" spans="1:3" x14ac:dyDescent="0.25">
      <c r="A83" s="13">
        <v>2036</v>
      </c>
      <c r="B83" s="15" t="s">
        <v>15</v>
      </c>
    </row>
    <row r="84" spans="1:3" x14ac:dyDescent="0.25">
      <c r="A84" s="13">
        <v>2037</v>
      </c>
      <c r="B84" s="15" t="s">
        <v>213</v>
      </c>
    </row>
    <row r="85" spans="1:3" x14ac:dyDescent="0.25">
      <c r="A85" s="13">
        <v>2038</v>
      </c>
      <c r="B85" s="15" t="s">
        <v>16</v>
      </c>
    </row>
    <row r="86" spans="1:3" x14ac:dyDescent="0.25">
      <c r="A86" s="13">
        <v>2039</v>
      </c>
      <c r="B86" s="15" t="s">
        <v>178</v>
      </c>
    </row>
    <row r="87" spans="1:3" x14ac:dyDescent="0.25">
      <c r="A87" s="13">
        <v>2040</v>
      </c>
      <c r="B87" s="15" t="s">
        <v>183</v>
      </c>
    </row>
    <row r="88" spans="1:3" x14ac:dyDescent="0.25">
      <c r="A88" s="13">
        <v>2041</v>
      </c>
      <c r="B88" s="15" t="s">
        <v>181</v>
      </c>
    </row>
    <row r="89" spans="1:3" x14ac:dyDescent="0.25">
      <c r="A89" s="13">
        <v>2042</v>
      </c>
      <c r="B89" s="15" t="s">
        <v>235</v>
      </c>
    </row>
    <row r="90" spans="1:3" x14ac:dyDescent="0.25">
      <c r="A90" s="13">
        <v>2043</v>
      </c>
      <c r="B90" s="15" t="s">
        <v>182</v>
      </c>
    </row>
    <row r="91" spans="1:3" x14ac:dyDescent="0.25">
      <c r="A91" s="13">
        <v>2044</v>
      </c>
      <c r="B91" s="15" t="s">
        <v>185</v>
      </c>
    </row>
    <row r="92" spans="1:3" x14ac:dyDescent="0.25">
      <c r="A92" s="13">
        <v>2045</v>
      </c>
      <c r="B92" t="s">
        <v>265</v>
      </c>
    </row>
    <row r="93" spans="1:3" x14ac:dyDescent="0.25">
      <c r="A93" s="13">
        <v>2046</v>
      </c>
      <c r="B93" t="s">
        <v>266</v>
      </c>
    </row>
    <row r="94" spans="1:3" x14ac:dyDescent="0.25">
      <c r="A94" s="13">
        <v>2047</v>
      </c>
      <c r="B94" t="s">
        <v>267</v>
      </c>
    </row>
    <row r="95" spans="1:3" x14ac:dyDescent="0.25">
      <c r="A95" s="13">
        <v>2048</v>
      </c>
      <c r="B95" t="s">
        <v>268</v>
      </c>
    </row>
    <row r="96" spans="1:3" x14ac:dyDescent="0.25">
      <c r="A96" s="13">
        <v>2049</v>
      </c>
      <c r="B96" t="s">
        <v>269</v>
      </c>
    </row>
    <row r="97" spans="1:3" x14ac:dyDescent="0.25">
      <c r="A97" s="13">
        <v>2050</v>
      </c>
      <c r="B97" t="s">
        <v>274</v>
      </c>
    </row>
    <row r="98" spans="1:3" x14ac:dyDescent="0.25">
      <c r="A98" s="13">
        <v>2051</v>
      </c>
      <c r="B98" t="s">
        <v>279</v>
      </c>
      <c r="C98">
        <v>28</v>
      </c>
    </row>
    <row r="99" spans="1:3" x14ac:dyDescent="0.25">
      <c r="A99" s="13">
        <v>2052</v>
      </c>
      <c r="B99" t="s">
        <v>281</v>
      </c>
      <c r="C99">
        <v>7</v>
      </c>
    </row>
    <row r="100" spans="1:3" x14ac:dyDescent="0.25">
      <c r="A100" s="13">
        <v>2053</v>
      </c>
      <c r="B100" t="s">
        <v>285</v>
      </c>
      <c r="C100">
        <v>14</v>
      </c>
    </row>
    <row r="104" spans="1:3" x14ac:dyDescent="0.25">
      <c r="A104" s="13" t="s">
        <v>301</v>
      </c>
      <c r="B104" t="s">
        <v>300</v>
      </c>
      <c r="C104" s="13" t="s">
        <v>302</v>
      </c>
    </row>
    <row r="105" spans="1:3" x14ac:dyDescent="0.25">
      <c r="A105" s="13">
        <v>3001</v>
      </c>
      <c r="B105" s="15" t="s">
        <v>23</v>
      </c>
      <c r="C105" s="73">
        <v>140</v>
      </c>
    </row>
    <row r="106" spans="1:3" x14ac:dyDescent="0.25">
      <c r="A106" s="13">
        <v>3002</v>
      </c>
      <c r="B106" s="15" t="s">
        <v>24</v>
      </c>
      <c r="C106" s="73">
        <v>105</v>
      </c>
    </row>
    <row r="107" spans="1:3" x14ac:dyDescent="0.25">
      <c r="A107" s="13">
        <v>3003</v>
      </c>
      <c r="B107" s="15" t="s">
        <v>162</v>
      </c>
      <c r="C107" s="73"/>
    </row>
    <row r="108" spans="1:3" x14ac:dyDescent="0.25">
      <c r="A108" s="13">
        <v>3004</v>
      </c>
      <c r="B108" t="s">
        <v>34</v>
      </c>
      <c r="C108" s="73">
        <v>105</v>
      </c>
    </row>
    <row r="109" spans="1:3" x14ac:dyDescent="0.25">
      <c r="A109" s="13">
        <v>3005</v>
      </c>
      <c r="B109" s="15" t="s">
        <v>31</v>
      </c>
      <c r="C109" s="73">
        <v>70</v>
      </c>
    </row>
    <row r="110" spans="1:3" x14ac:dyDescent="0.25">
      <c r="A110" s="13">
        <v>3006</v>
      </c>
      <c r="B110" s="15" t="s">
        <v>25</v>
      </c>
      <c r="C110" s="73">
        <v>35</v>
      </c>
    </row>
    <row r="111" spans="1:3" x14ac:dyDescent="0.25">
      <c r="A111" s="13">
        <v>3007</v>
      </c>
      <c r="B111" s="15" t="s">
        <v>26</v>
      </c>
      <c r="C111" s="73">
        <v>105</v>
      </c>
    </row>
    <row r="112" spans="1:3" x14ac:dyDescent="0.25">
      <c r="A112" s="13">
        <v>3008</v>
      </c>
      <c r="B112" s="15" t="s">
        <v>33</v>
      </c>
      <c r="C112" s="73">
        <v>35</v>
      </c>
    </row>
    <row r="113" spans="1:4" x14ac:dyDescent="0.25">
      <c r="A113" s="63">
        <v>3048</v>
      </c>
      <c r="B113" s="15" t="s">
        <v>277</v>
      </c>
      <c r="C113" s="73">
        <v>30</v>
      </c>
    </row>
    <row r="114" spans="1:4" x14ac:dyDescent="0.25">
      <c r="A114" s="13">
        <v>3009</v>
      </c>
      <c r="B114" s="15" t="s">
        <v>158</v>
      </c>
      <c r="C114" s="73"/>
    </row>
    <row r="115" spans="1:4" x14ac:dyDescent="0.25">
      <c r="A115" s="13">
        <v>3010</v>
      </c>
      <c r="B115" s="15" t="s">
        <v>35</v>
      </c>
      <c r="C115" s="73">
        <v>35</v>
      </c>
      <c r="D115">
        <v>105</v>
      </c>
    </row>
    <row r="116" spans="1:4" x14ac:dyDescent="0.25">
      <c r="A116" s="13">
        <v>3011</v>
      </c>
      <c r="B116" s="15" t="s">
        <v>238</v>
      </c>
      <c r="C116" s="73"/>
    </row>
    <row r="117" spans="1:4" x14ac:dyDescent="0.25">
      <c r="A117" s="13">
        <v>3012</v>
      </c>
      <c r="B117" s="15" t="s">
        <v>38</v>
      </c>
      <c r="C117" s="73">
        <v>70</v>
      </c>
    </row>
    <row r="118" spans="1:4" x14ac:dyDescent="0.25">
      <c r="A118" s="13">
        <v>3013</v>
      </c>
      <c r="B118" s="15" t="s">
        <v>45</v>
      </c>
      <c r="C118" s="73">
        <v>140</v>
      </c>
    </row>
    <row r="119" spans="1:4" x14ac:dyDescent="0.25">
      <c r="A119" s="13">
        <v>3014</v>
      </c>
      <c r="B119" s="15" t="s">
        <v>47</v>
      </c>
      <c r="C119" s="73"/>
    </row>
    <row r="120" spans="1:4" x14ac:dyDescent="0.25">
      <c r="A120" s="13">
        <v>3015</v>
      </c>
      <c r="B120" s="15" t="s">
        <v>49</v>
      </c>
      <c r="C120" s="73"/>
    </row>
    <row r="121" spans="1:4" x14ac:dyDescent="0.25">
      <c r="A121" s="13">
        <v>3016</v>
      </c>
      <c r="B121" s="15" t="s">
        <v>50</v>
      </c>
      <c r="C121" s="73"/>
    </row>
    <row r="122" spans="1:4" x14ac:dyDescent="0.25">
      <c r="A122" s="13">
        <v>3017</v>
      </c>
      <c r="B122" s="15" t="s">
        <v>51</v>
      </c>
      <c r="C122" s="73"/>
    </row>
    <row r="123" spans="1:4" x14ac:dyDescent="0.25">
      <c r="A123" s="13">
        <v>3018</v>
      </c>
      <c r="B123" s="15" t="s">
        <v>37</v>
      </c>
      <c r="C123" s="73"/>
    </row>
    <row r="124" spans="1:4" x14ac:dyDescent="0.25">
      <c r="A124" s="13">
        <v>3019</v>
      </c>
      <c r="B124" s="15" t="s">
        <v>216</v>
      </c>
      <c r="C124" s="73"/>
    </row>
    <row r="125" spans="1:4" x14ac:dyDescent="0.25">
      <c r="A125" s="13">
        <v>3020</v>
      </c>
      <c r="B125" s="15" t="s">
        <v>152</v>
      </c>
      <c r="C125" s="73"/>
    </row>
    <row r="126" spans="1:4" x14ac:dyDescent="0.25">
      <c r="A126" s="13">
        <v>3021</v>
      </c>
      <c r="B126" s="15" t="s">
        <v>32</v>
      </c>
      <c r="C126" s="73">
        <v>105</v>
      </c>
    </row>
    <row r="127" spans="1:4" x14ac:dyDescent="0.25">
      <c r="A127" s="13">
        <v>3022</v>
      </c>
      <c r="B127" s="15" t="s">
        <v>48</v>
      </c>
      <c r="C127" s="73"/>
    </row>
    <row r="128" spans="1:4" x14ac:dyDescent="0.25">
      <c r="A128" s="13">
        <v>3023</v>
      </c>
      <c r="B128" s="15" t="s">
        <v>54</v>
      </c>
      <c r="C128" s="73"/>
    </row>
    <row r="129" spans="1:3" x14ac:dyDescent="0.25">
      <c r="A129" s="13">
        <v>3024</v>
      </c>
      <c r="B129" s="15" t="s">
        <v>46</v>
      </c>
      <c r="C129" s="73"/>
    </row>
    <row r="130" spans="1:3" x14ac:dyDescent="0.25">
      <c r="A130" s="13">
        <v>3025</v>
      </c>
      <c r="B130" s="15" t="s">
        <v>42</v>
      </c>
      <c r="C130" s="73"/>
    </row>
    <row r="131" spans="1:3" x14ac:dyDescent="0.25">
      <c r="A131" s="13">
        <v>3026</v>
      </c>
      <c r="B131" s="15" t="s">
        <v>40</v>
      </c>
      <c r="C131" s="73"/>
    </row>
    <row r="132" spans="1:3" x14ac:dyDescent="0.25">
      <c r="A132" s="13">
        <v>3027</v>
      </c>
      <c r="B132" s="15" t="s">
        <v>53</v>
      </c>
      <c r="C132" s="73"/>
    </row>
    <row r="133" spans="1:3" x14ac:dyDescent="0.25">
      <c r="A133" s="13">
        <v>3028</v>
      </c>
      <c r="B133" s="15" t="s">
        <v>39</v>
      </c>
      <c r="C133" s="73"/>
    </row>
    <row r="134" spans="1:3" x14ac:dyDescent="0.25">
      <c r="A134" s="13">
        <v>3029</v>
      </c>
      <c r="B134" s="15" t="s">
        <v>157</v>
      </c>
      <c r="C134" s="73"/>
    </row>
    <row r="135" spans="1:3" x14ac:dyDescent="0.25">
      <c r="A135" s="13">
        <v>3030</v>
      </c>
      <c r="B135" s="15" t="s">
        <v>156</v>
      </c>
      <c r="C135" s="73"/>
    </row>
    <row r="136" spans="1:3" x14ac:dyDescent="0.25">
      <c r="A136" s="13">
        <v>3031</v>
      </c>
      <c r="B136" s="15" t="s">
        <v>200</v>
      </c>
      <c r="C136" s="73"/>
    </row>
    <row r="137" spans="1:3" x14ac:dyDescent="0.25">
      <c r="A137" s="13">
        <v>3032</v>
      </c>
      <c r="B137" s="15" t="s">
        <v>30</v>
      </c>
      <c r="C137" s="73">
        <v>35</v>
      </c>
    </row>
    <row r="138" spans="1:3" x14ac:dyDescent="0.25">
      <c r="A138" s="13">
        <v>3033</v>
      </c>
      <c r="B138" s="15" t="s">
        <v>164</v>
      </c>
      <c r="C138" s="73"/>
    </row>
    <row r="139" spans="1:3" x14ac:dyDescent="0.25">
      <c r="A139" s="13">
        <v>3034</v>
      </c>
      <c r="B139" s="15" t="s">
        <v>43</v>
      </c>
      <c r="C139" s="73"/>
    </row>
    <row r="140" spans="1:3" x14ac:dyDescent="0.25">
      <c r="A140" s="13">
        <v>3035</v>
      </c>
      <c r="B140" s="15" t="s">
        <v>159</v>
      </c>
      <c r="C140" s="73"/>
    </row>
    <row r="141" spans="1:3" x14ac:dyDescent="0.25">
      <c r="A141" s="13">
        <v>3036</v>
      </c>
      <c r="B141" s="15" t="s">
        <v>160</v>
      </c>
      <c r="C141" s="73"/>
    </row>
    <row r="142" spans="1:3" x14ac:dyDescent="0.25">
      <c r="A142" s="13">
        <v>3037</v>
      </c>
      <c r="B142" s="15" t="s">
        <v>29</v>
      </c>
      <c r="C142" s="73">
        <v>35</v>
      </c>
    </row>
    <row r="143" spans="1:3" x14ac:dyDescent="0.25">
      <c r="A143" s="13">
        <v>3038</v>
      </c>
      <c r="B143" s="15" t="s">
        <v>41</v>
      </c>
      <c r="C143" s="73">
        <v>105</v>
      </c>
    </row>
    <row r="144" spans="1:3" x14ac:dyDescent="0.25">
      <c r="A144" s="13">
        <v>3039</v>
      </c>
      <c r="B144" s="15" t="s">
        <v>28</v>
      </c>
      <c r="C144" s="73">
        <v>105</v>
      </c>
    </row>
    <row r="145" spans="1:3" x14ac:dyDescent="0.25">
      <c r="A145" s="13">
        <v>3040</v>
      </c>
      <c r="B145" s="15" t="s">
        <v>27</v>
      </c>
      <c r="C145" s="73">
        <v>105</v>
      </c>
    </row>
    <row r="146" spans="1:3" x14ac:dyDescent="0.25">
      <c r="A146" s="13">
        <v>3041</v>
      </c>
      <c r="B146" s="15" t="s">
        <v>36</v>
      </c>
      <c r="C146" s="73">
        <v>70</v>
      </c>
    </row>
    <row r="147" spans="1:3" x14ac:dyDescent="0.25">
      <c r="A147" s="13">
        <v>3042</v>
      </c>
      <c r="B147" s="15" t="s">
        <v>52</v>
      </c>
      <c r="C147" s="73">
        <v>70</v>
      </c>
    </row>
    <row r="148" spans="1:3" x14ac:dyDescent="0.25">
      <c r="A148" s="13">
        <v>3043</v>
      </c>
      <c r="B148" s="15" t="s">
        <v>44</v>
      </c>
      <c r="C148" s="73">
        <v>105</v>
      </c>
    </row>
    <row r="149" spans="1:3" x14ac:dyDescent="0.25">
      <c r="A149" s="13">
        <v>3044</v>
      </c>
      <c r="B149" s="15" t="s">
        <v>201</v>
      </c>
      <c r="C149" s="73"/>
    </row>
    <row r="150" spans="1:3" x14ac:dyDescent="0.25">
      <c r="A150" s="13">
        <v>3045</v>
      </c>
      <c r="B150" s="15" t="s">
        <v>17</v>
      </c>
      <c r="C150" s="73"/>
    </row>
    <row r="151" spans="1:3" x14ac:dyDescent="0.25">
      <c r="A151" s="13">
        <v>3046</v>
      </c>
      <c r="B151" s="15" t="s">
        <v>18</v>
      </c>
      <c r="C151" s="73"/>
    </row>
    <row r="152" spans="1:3" x14ac:dyDescent="0.25">
      <c r="A152" s="13">
        <v>3047</v>
      </c>
      <c r="B152" s="15" t="s">
        <v>19</v>
      </c>
      <c r="C152" s="7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1693"/>
  <sheetViews>
    <sheetView workbookViewId="0">
      <pane ySplit="6" topLeftCell="A695" activePane="bottomLeft" state="frozen"/>
      <selection pane="bottomLeft" activeCell="I720" sqref="I720"/>
    </sheetView>
  </sheetViews>
  <sheetFormatPr baseColWidth="10" defaultRowHeight="15" x14ac:dyDescent="0.25"/>
  <cols>
    <col min="1" max="1" width="13.28515625" customWidth="1"/>
    <col min="2" max="2" width="24.7109375" customWidth="1"/>
    <col min="3" max="3" width="12.28515625" customWidth="1"/>
    <col min="4" max="4" width="11.28515625" customWidth="1"/>
    <col min="5" max="5" width="13.85546875" customWidth="1"/>
    <col min="6" max="6" width="9.42578125" style="13" customWidth="1"/>
    <col min="7" max="7" width="38.140625" customWidth="1"/>
    <col min="8" max="8" width="13.7109375" customWidth="1"/>
    <col min="9" max="9" width="29.42578125" customWidth="1"/>
  </cols>
  <sheetData>
    <row r="1" spans="1:10" ht="18.75" x14ac:dyDescent="0.3">
      <c r="A1" s="20" t="s">
        <v>247</v>
      </c>
    </row>
    <row r="2" spans="1:10" ht="15.75" x14ac:dyDescent="0.25">
      <c r="A2" s="16"/>
      <c r="G2" s="10" t="s">
        <v>289</v>
      </c>
      <c r="H2" s="10">
        <f>SUBTOTAL(2,H7:H1588)</f>
        <v>1419</v>
      </c>
    </row>
    <row r="3" spans="1:10" ht="15.75" x14ac:dyDescent="0.25">
      <c r="A3" s="16"/>
      <c r="G3" s="10" t="s">
        <v>288</v>
      </c>
      <c r="H3" s="65">
        <f>SUBTOTAL(9,H7:H1696)</f>
        <v>91370.639999999388</v>
      </c>
      <c r="J3" s="74"/>
    </row>
    <row r="4" spans="1:10" ht="15.75" x14ac:dyDescent="0.25">
      <c r="A4" s="16"/>
    </row>
    <row r="6" spans="1:10" x14ac:dyDescent="0.25">
      <c r="A6" t="s">
        <v>225</v>
      </c>
      <c r="B6" t="s">
        <v>246</v>
      </c>
      <c r="C6" t="s">
        <v>56</v>
      </c>
      <c r="D6" t="s">
        <v>227</v>
      </c>
      <c r="E6" t="s">
        <v>228</v>
      </c>
      <c r="F6" s="13" t="s">
        <v>226</v>
      </c>
      <c r="G6" t="s">
        <v>224</v>
      </c>
      <c r="H6" t="s">
        <v>229</v>
      </c>
      <c r="I6" t="s">
        <v>261</v>
      </c>
    </row>
    <row r="7" spans="1:10" x14ac:dyDescent="0.25">
      <c r="A7">
        <v>470</v>
      </c>
      <c r="B7" t="s">
        <v>64</v>
      </c>
      <c r="C7">
        <v>2023</v>
      </c>
      <c r="F7" s="13">
        <v>3040</v>
      </c>
      <c r="G7" t="str">
        <f>VLOOKUP(F7,'Liste Formations'!$A$5:$B$182,2,FALSE)</f>
        <v>Poste 1404</v>
      </c>
      <c r="H7" s="62">
        <v>151.66999999999999</v>
      </c>
    </row>
    <row r="8" spans="1:10" x14ac:dyDescent="0.25">
      <c r="A8">
        <v>470</v>
      </c>
      <c r="B8" t="s">
        <v>64</v>
      </c>
      <c r="C8">
        <v>2024</v>
      </c>
      <c r="F8" s="13">
        <v>1020</v>
      </c>
      <c r="G8" t="str">
        <f>VLOOKUP(F8,'Liste Formations'!$A$5:$B$182,2,FALSE)</f>
        <v>Prévention TMS - Gestes Postures et Nutrition</v>
      </c>
      <c r="H8">
        <v>3.5</v>
      </c>
    </row>
    <row r="9" spans="1:10" x14ac:dyDescent="0.25">
      <c r="A9">
        <v>470</v>
      </c>
      <c r="B9" t="s">
        <v>64</v>
      </c>
      <c r="C9">
        <v>2024</v>
      </c>
      <c r="F9" s="13">
        <v>3004</v>
      </c>
      <c r="G9" t="s">
        <v>34</v>
      </c>
      <c r="H9" s="73">
        <v>12</v>
      </c>
    </row>
    <row r="10" spans="1:10" x14ac:dyDescent="0.25">
      <c r="A10">
        <v>470</v>
      </c>
      <c r="B10" t="s">
        <v>64</v>
      </c>
      <c r="C10">
        <v>2024</v>
      </c>
      <c r="F10" s="13">
        <v>3006</v>
      </c>
      <c r="G10" t="str">
        <f>VLOOKUP(F10,'Liste Formations'!$A$5:$B$182,2,FALSE)</f>
        <v>Poste 515</v>
      </c>
      <c r="H10">
        <v>70</v>
      </c>
    </row>
    <row r="11" spans="1:10" x14ac:dyDescent="0.25">
      <c r="A11">
        <v>470</v>
      </c>
      <c r="B11" t="s">
        <v>64</v>
      </c>
      <c r="C11">
        <v>2026</v>
      </c>
      <c r="E11" s="18">
        <v>46078</v>
      </c>
      <c r="F11" s="13">
        <v>3040</v>
      </c>
      <c r="G11" s="15" t="s">
        <v>27</v>
      </c>
      <c r="H11" s="73">
        <v>105</v>
      </c>
      <c r="I11" t="s">
        <v>308</v>
      </c>
    </row>
    <row r="13" spans="1:10" x14ac:dyDescent="0.25">
      <c r="A13">
        <v>330</v>
      </c>
      <c r="B13" t="s">
        <v>151</v>
      </c>
      <c r="C13">
        <v>2014</v>
      </c>
      <c r="F13" s="13">
        <v>1004</v>
      </c>
      <c r="G13" t="str">
        <f>VLOOKUP(F13,'Liste Formations'!$A$5:$B$182,2,FALSE)</f>
        <v>Conduite Chariots Cat.3</v>
      </c>
      <c r="H13">
        <v>7</v>
      </c>
    </row>
    <row r="14" spans="1:10" x14ac:dyDescent="0.25">
      <c r="A14">
        <v>330</v>
      </c>
      <c r="B14" t="s">
        <v>151</v>
      </c>
      <c r="C14">
        <v>2014</v>
      </c>
      <c r="F14" s="13">
        <v>3025</v>
      </c>
      <c r="G14" t="str">
        <f>VLOOKUP(F14,'Liste Formations'!$A$5:$B$182,2,FALSE)</f>
        <v>Poste 930</v>
      </c>
      <c r="H14">
        <v>151.66999999999999</v>
      </c>
    </row>
    <row r="15" spans="1:10" x14ac:dyDescent="0.25">
      <c r="A15">
        <v>330</v>
      </c>
      <c r="B15" t="s">
        <v>151</v>
      </c>
      <c r="C15">
        <v>2014</v>
      </c>
      <c r="F15" s="13">
        <v>3041</v>
      </c>
      <c r="G15" t="str">
        <f>VLOOKUP(F15,'Liste Formations'!$A$5:$B$182,2,FALSE)</f>
        <v>Poste 1405</v>
      </c>
      <c r="H15">
        <v>151.66999999999999</v>
      </c>
    </row>
    <row r="16" spans="1:10" x14ac:dyDescent="0.25">
      <c r="A16">
        <v>330</v>
      </c>
      <c r="B16" t="s">
        <v>151</v>
      </c>
      <c r="C16">
        <v>2016</v>
      </c>
      <c r="F16" s="13">
        <v>3025</v>
      </c>
      <c r="G16" t="str">
        <f>VLOOKUP(F16,'Liste Formations'!$A$5:$B$182,2,FALSE)</f>
        <v>Poste 930</v>
      </c>
      <c r="H16">
        <v>151.66999999999999</v>
      </c>
    </row>
    <row r="17" spans="1:9" x14ac:dyDescent="0.25">
      <c r="A17">
        <v>330</v>
      </c>
      <c r="B17" t="s">
        <v>151</v>
      </c>
      <c r="C17">
        <v>2016</v>
      </c>
      <c r="F17" s="13">
        <v>3041</v>
      </c>
      <c r="G17" t="str">
        <f>VLOOKUP(F17,'Liste Formations'!$A$5:$B$182,2,FALSE)</f>
        <v>Poste 1405</v>
      </c>
      <c r="H17">
        <v>151.66999999999999</v>
      </c>
    </row>
    <row r="18" spans="1:9" x14ac:dyDescent="0.25">
      <c r="A18">
        <v>330</v>
      </c>
      <c r="B18" t="s">
        <v>151</v>
      </c>
      <c r="C18">
        <v>2017</v>
      </c>
      <c r="F18" s="13">
        <v>2007</v>
      </c>
      <c r="G18" t="str">
        <f>VLOOKUP(F18,'Liste Formations'!$A$5:$B$182,2,FALSE)</f>
        <v>ERP DIVALTO</v>
      </c>
      <c r="H18">
        <v>2</v>
      </c>
    </row>
    <row r="19" spans="1:9" x14ac:dyDescent="0.25">
      <c r="A19">
        <v>330</v>
      </c>
      <c r="B19" t="s">
        <v>151</v>
      </c>
      <c r="C19">
        <v>2018</v>
      </c>
      <c r="F19" s="13">
        <v>1020</v>
      </c>
      <c r="G19" t="str">
        <f>VLOOKUP(F19,'Liste Formations'!$A$5:$B$182,2,FALSE)</f>
        <v>Prévention TMS - Gestes Postures et Nutrition</v>
      </c>
      <c r="H19">
        <v>3.5</v>
      </c>
    </row>
    <row r="20" spans="1:9" x14ac:dyDescent="0.25">
      <c r="A20">
        <v>330</v>
      </c>
      <c r="B20" t="s">
        <v>151</v>
      </c>
      <c r="C20">
        <v>2018</v>
      </c>
      <c r="F20" s="13">
        <v>3010</v>
      </c>
      <c r="G20" t="str">
        <f>VLOOKUP(F20,'Liste Formations'!$A$5:$B$182,2,FALSE)</f>
        <v>Poste 830</v>
      </c>
      <c r="H20">
        <v>151.66999999999999</v>
      </c>
    </row>
    <row r="21" spans="1:9" x14ac:dyDescent="0.25">
      <c r="A21">
        <v>330</v>
      </c>
      <c r="B21" t="s">
        <v>151</v>
      </c>
      <c r="C21">
        <v>2018</v>
      </c>
      <c r="F21" s="13">
        <v>3025</v>
      </c>
      <c r="G21" t="str">
        <f>VLOOKUP(F21,'Liste Formations'!$A$5:$B$182,2,FALSE)</f>
        <v>Poste 930</v>
      </c>
      <c r="H21">
        <v>151.66999999999999</v>
      </c>
    </row>
    <row r="22" spans="1:9" x14ac:dyDescent="0.25">
      <c r="A22">
        <v>330</v>
      </c>
      <c r="B22" t="s">
        <v>151</v>
      </c>
      <c r="C22">
        <v>2018</v>
      </c>
      <c r="F22" s="13">
        <v>3041</v>
      </c>
      <c r="G22" t="str">
        <f>VLOOKUP(F22,'Liste Formations'!$A$5:$B$182,2,FALSE)</f>
        <v>Poste 1405</v>
      </c>
      <c r="H22">
        <v>151.66999999999999</v>
      </c>
    </row>
    <row r="23" spans="1:9" x14ac:dyDescent="0.25">
      <c r="A23">
        <v>330</v>
      </c>
      <c r="B23" t="s">
        <v>151</v>
      </c>
      <c r="C23">
        <v>2019</v>
      </c>
      <c r="F23" s="13">
        <v>1004</v>
      </c>
      <c r="G23" t="str">
        <f>VLOOKUP(F23,'Liste Formations'!$A$5:$B$182,2,FALSE)</f>
        <v>Conduite Chariots Cat.3</v>
      </c>
      <c r="H23">
        <v>7</v>
      </c>
    </row>
    <row r="24" spans="1:9" x14ac:dyDescent="0.25">
      <c r="A24">
        <v>330</v>
      </c>
      <c r="B24" t="s">
        <v>151</v>
      </c>
      <c r="C24">
        <v>2021</v>
      </c>
      <c r="F24" s="13">
        <v>3014</v>
      </c>
      <c r="G24" t="str">
        <f>VLOOKUP(F24,'Liste Formations'!$A$5:$B$182,2,FALSE)</f>
        <v>Poste 902</v>
      </c>
      <c r="H24">
        <v>151.66999999999999</v>
      </c>
    </row>
    <row r="25" spans="1:9" x14ac:dyDescent="0.25">
      <c r="A25">
        <v>330</v>
      </c>
      <c r="B25" t="s">
        <v>151</v>
      </c>
      <c r="C25">
        <v>2021</v>
      </c>
      <c r="F25" s="13">
        <v>3018</v>
      </c>
      <c r="G25" t="str">
        <f>VLOOKUP(F25,'Liste Formations'!$A$5:$B$182,2,FALSE)</f>
        <v>Poste 906</v>
      </c>
      <c r="H25">
        <v>151.66999999999999</v>
      </c>
    </row>
    <row r="26" spans="1:9" x14ac:dyDescent="0.25">
      <c r="A26">
        <v>330</v>
      </c>
      <c r="B26" t="s">
        <v>151</v>
      </c>
      <c r="C26">
        <v>2022</v>
      </c>
      <c r="F26" s="13">
        <v>3006</v>
      </c>
      <c r="G26" t="str">
        <f>VLOOKUP(F26,'Liste Formations'!$A$5:$B$182,2,FALSE)</f>
        <v>Poste 515</v>
      </c>
      <c r="H26">
        <v>151.66999999999999</v>
      </c>
    </row>
    <row r="27" spans="1:9" x14ac:dyDescent="0.25">
      <c r="A27">
        <v>330</v>
      </c>
      <c r="B27" t="s">
        <v>151</v>
      </c>
      <c r="C27">
        <v>2024</v>
      </c>
      <c r="F27" s="13">
        <v>3005</v>
      </c>
      <c r="G27" t="str">
        <f>VLOOKUP(F27,'Liste Formations'!$A$5:$B$182,2,FALSE)</f>
        <v>Poste 514</v>
      </c>
      <c r="H27">
        <v>12</v>
      </c>
    </row>
    <row r="28" spans="1:9" x14ac:dyDescent="0.25">
      <c r="A28">
        <v>330</v>
      </c>
      <c r="B28" t="s">
        <v>151</v>
      </c>
      <c r="C28">
        <v>2024</v>
      </c>
      <c r="F28" s="13">
        <v>1004</v>
      </c>
      <c r="G28" t="str">
        <f>VLOOKUP(F28,'Liste Formations'!$A$5:$B$182,2,FALSE)</f>
        <v>Conduite Chariots Cat.3</v>
      </c>
      <c r="H28">
        <v>7</v>
      </c>
    </row>
    <row r="29" spans="1:9" x14ac:dyDescent="0.25">
      <c r="A29">
        <v>330</v>
      </c>
      <c r="B29" t="s">
        <v>151</v>
      </c>
      <c r="C29">
        <v>2024</v>
      </c>
      <c r="F29" s="13">
        <v>1020</v>
      </c>
      <c r="G29" t="str">
        <f>VLOOKUP(F29,'Liste Formations'!$A$5:$B$182,2,FALSE)</f>
        <v>Prévention TMS - Gestes Postures et Nutrition</v>
      </c>
      <c r="H29">
        <v>3.5</v>
      </c>
    </row>
    <row r="30" spans="1:9" x14ac:dyDescent="0.25">
      <c r="A30">
        <v>330</v>
      </c>
      <c r="B30" t="s">
        <v>151</v>
      </c>
      <c r="C30">
        <v>2025</v>
      </c>
      <c r="D30" s="18">
        <v>45723</v>
      </c>
      <c r="E30" s="18">
        <v>45754</v>
      </c>
      <c r="F30" s="13">
        <v>3037</v>
      </c>
      <c r="G30" s="15" t="s">
        <v>29</v>
      </c>
      <c r="H30" s="75">
        <v>35</v>
      </c>
      <c r="I30" t="s">
        <v>308</v>
      </c>
    </row>
    <row r="31" spans="1:9" x14ac:dyDescent="0.25">
      <c r="D31" s="18"/>
      <c r="E31" s="18"/>
      <c r="G31" s="15"/>
    </row>
    <row r="32" spans="1:9" x14ac:dyDescent="0.25">
      <c r="A32">
        <v>387</v>
      </c>
      <c r="B32" t="s">
        <v>149</v>
      </c>
      <c r="C32">
        <v>2019</v>
      </c>
      <c r="F32" s="13">
        <v>1001</v>
      </c>
      <c r="G32" t="str">
        <f>VLOOKUP(F32,'Liste Formations'!$A$5:$B$182,2,FALSE)</f>
        <v>Conduite nacelle CACES R486A  Plate forme mobile</v>
      </c>
      <c r="H32">
        <v>14</v>
      </c>
    </row>
    <row r="33" spans="1:9" x14ac:dyDescent="0.25">
      <c r="A33">
        <v>387</v>
      </c>
      <c r="B33" t="s">
        <v>149</v>
      </c>
      <c r="C33">
        <v>2019</v>
      </c>
      <c r="F33" s="13">
        <v>1004</v>
      </c>
      <c r="G33" t="str">
        <f>VLOOKUP(F33,'Liste Formations'!$A$5:$B$182,2,FALSE)</f>
        <v>Conduite Chariots Cat.3</v>
      </c>
      <c r="H33">
        <v>7</v>
      </c>
    </row>
    <row r="34" spans="1:9" x14ac:dyDescent="0.25">
      <c r="A34">
        <v>387</v>
      </c>
      <c r="B34" t="s">
        <v>149</v>
      </c>
      <c r="C34">
        <v>2021</v>
      </c>
      <c r="F34" s="13">
        <v>1018</v>
      </c>
      <c r="G34" t="str">
        <f>VLOOKUP(F34,'Liste Formations'!$A$5:$B$182,2,FALSE)</f>
        <v>AQI Chaufferies - Agent Qualifié d'Intervention en chaufferies</v>
      </c>
      <c r="H34">
        <v>21</v>
      </c>
    </row>
    <row r="35" spans="1:9" x14ac:dyDescent="0.25">
      <c r="A35">
        <v>387</v>
      </c>
      <c r="B35" t="s">
        <v>149</v>
      </c>
      <c r="C35">
        <v>2022</v>
      </c>
      <c r="F35" s="13">
        <v>1007</v>
      </c>
      <c r="G35" t="str">
        <f>VLOOKUP(F35,'Liste Formations'!$A$5:$B$182,2,FALSE)</f>
        <v>Habilitation électrique BR/BC/B2V/HOV</v>
      </c>
      <c r="H35">
        <v>21</v>
      </c>
    </row>
    <row r="36" spans="1:9" x14ac:dyDescent="0.25">
      <c r="A36">
        <v>387</v>
      </c>
      <c r="B36" t="s">
        <v>149</v>
      </c>
      <c r="C36">
        <v>2024</v>
      </c>
      <c r="F36" s="13">
        <v>1001</v>
      </c>
      <c r="G36" t="str">
        <f>VLOOKUP(F36,'Liste Formations'!$A$5:$B$182,2,FALSE)</f>
        <v>Conduite nacelle CACES R486A  Plate forme mobile</v>
      </c>
      <c r="H36">
        <v>21</v>
      </c>
    </row>
    <row r="37" spans="1:9" x14ac:dyDescent="0.25">
      <c r="A37">
        <v>387</v>
      </c>
      <c r="B37" t="s">
        <v>149</v>
      </c>
      <c r="C37">
        <v>2024</v>
      </c>
      <c r="F37" s="13">
        <v>1004</v>
      </c>
      <c r="G37" t="str">
        <f>VLOOKUP(F37,'Liste Formations'!$A$5:$B$182,2,FALSE)</f>
        <v>Conduite Chariots Cat.3</v>
      </c>
      <c r="H37">
        <v>7</v>
      </c>
    </row>
    <row r="38" spans="1:9" x14ac:dyDescent="0.25">
      <c r="A38">
        <v>387</v>
      </c>
      <c r="B38" t="s">
        <v>149</v>
      </c>
      <c r="C38">
        <v>2024</v>
      </c>
      <c r="F38" s="13">
        <v>1013</v>
      </c>
      <c r="G38" t="str">
        <f>VLOOKUP(F38,'Liste Formations'!$A$5:$B$182,2,FALSE)</f>
        <v>ATEX Niveau 1 (1E+1M) Electrique et Mécanique</v>
      </c>
      <c r="H38">
        <v>14</v>
      </c>
    </row>
    <row r="39" spans="1:9" x14ac:dyDescent="0.25">
      <c r="A39">
        <v>387</v>
      </c>
      <c r="B39" t="s">
        <v>149</v>
      </c>
      <c r="C39">
        <v>2024</v>
      </c>
      <c r="F39" s="13">
        <v>1018</v>
      </c>
      <c r="G39" t="str">
        <f>VLOOKUP(F39,'Liste Formations'!$A$5:$B$182,2,FALSE)</f>
        <v>AQI Chaufferies - Agent Qualifié d'Intervention en chaufferies</v>
      </c>
      <c r="H39">
        <v>7</v>
      </c>
    </row>
    <row r="40" spans="1:9" x14ac:dyDescent="0.25">
      <c r="A40">
        <v>387</v>
      </c>
      <c r="B40" t="s">
        <v>149</v>
      </c>
      <c r="C40">
        <v>2025</v>
      </c>
      <c r="D40" s="18">
        <v>45747</v>
      </c>
      <c r="E40" s="18">
        <v>45748</v>
      </c>
      <c r="F40" s="13">
        <v>1007</v>
      </c>
      <c r="G40" t="s">
        <v>284</v>
      </c>
      <c r="H40" s="75">
        <v>10.5</v>
      </c>
      <c r="I40" t="s">
        <v>280</v>
      </c>
    </row>
    <row r="41" spans="1:9" x14ac:dyDescent="0.25">
      <c r="A41">
        <v>387</v>
      </c>
      <c r="B41" t="s">
        <v>149</v>
      </c>
      <c r="C41">
        <v>2025</v>
      </c>
      <c r="D41" s="18">
        <v>45776</v>
      </c>
      <c r="E41" s="18">
        <v>45776</v>
      </c>
      <c r="F41" s="13">
        <v>1008</v>
      </c>
      <c r="G41" t="s">
        <v>241</v>
      </c>
      <c r="H41" s="75">
        <v>7</v>
      </c>
      <c r="I41" t="s">
        <v>280</v>
      </c>
    </row>
    <row r="42" spans="1:9" x14ac:dyDescent="0.25">
      <c r="D42" s="18"/>
      <c r="E42" s="18"/>
      <c r="H42" s="75"/>
    </row>
    <row r="43" spans="1:9" x14ac:dyDescent="0.25">
      <c r="D43" s="18"/>
      <c r="E43" s="18"/>
      <c r="H43" s="75"/>
    </row>
    <row r="44" spans="1:9" x14ac:dyDescent="0.25">
      <c r="D44" s="18"/>
      <c r="E44" s="18"/>
    </row>
    <row r="45" spans="1:9" x14ac:dyDescent="0.25">
      <c r="A45">
        <v>414</v>
      </c>
      <c r="B45" t="s">
        <v>318</v>
      </c>
      <c r="C45">
        <v>2020</v>
      </c>
      <c r="F45" s="13">
        <v>3038</v>
      </c>
      <c r="G45" t="str">
        <f>VLOOKUP(F45,'Liste Formations'!$A$5:$B$182,2,FALSE)</f>
        <v>Poste 1401</v>
      </c>
      <c r="H45">
        <v>120</v>
      </c>
    </row>
    <row r="46" spans="1:9" x14ac:dyDescent="0.25">
      <c r="A46">
        <v>414</v>
      </c>
      <c r="B46" t="s">
        <v>318</v>
      </c>
      <c r="C46">
        <v>2021</v>
      </c>
      <c r="F46" s="13">
        <v>1004</v>
      </c>
      <c r="G46" t="str">
        <f>VLOOKUP(F46,'Liste Formations'!$A$5:$B$182,2,FALSE)</f>
        <v>Conduite Chariots Cat.3</v>
      </c>
      <c r="H46">
        <v>7</v>
      </c>
    </row>
    <row r="47" spans="1:9" x14ac:dyDescent="0.25">
      <c r="A47">
        <v>414</v>
      </c>
      <c r="B47" t="s">
        <v>318</v>
      </c>
      <c r="C47">
        <v>2021</v>
      </c>
      <c r="F47" s="13">
        <v>3013</v>
      </c>
      <c r="G47" t="str">
        <f>VLOOKUP(F47,'Liste Formations'!$A$5:$B$182,2,FALSE)</f>
        <v>Poste 901</v>
      </c>
      <c r="H47">
        <v>396.67</v>
      </c>
    </row>
    <row r="48" spans="1:9" x14ac:dyDescent="0.25">
      <c r="A48">
        <v>414</v>
      </c>
      <c r="B48" t="s">
        <v>318</v>
      </c>
      <c r="C48">
        <v>2021</v>
      </c>
      <c r="F48" s="13">
        <v>3018</v>
      </c>
      <c r="G48" t="str">
        <f>VLOOKUP(F48,'Liste Formations'!$A$5:$B$182,2,FALSE)</f>
        <v>Poste 906</v>
      </c>
      <c r="H48">
        <v>151.66999999999999</v>
      </c>
    </row>
    <row r="49" spans="1:8" x14ac:dyDescent="0.25">
      <c r="A49">
        <v>414</v>
      </c>
      <c r="B49" t="s">
        <v>318</v>
      </c>
      <c r="C49">
        <v>2021</v>
      </c>
      <c r="F49" s="13">
        <v>3023</v>
      </c>
      <c r="G49" t="str">
        <f>VLOOKUP(F49,'Liste Formations'!$A$5:$B$182,2,FALSE)</f>
        <v>Poste 923</v>
      </c>
      <c r="H49">
        <v>151.66999999999999</v>
      </c>
    </row>
    <row r="50" spans="1:8" x14ac:dyDescent="0.25">
      <c r="A50">
        <v>414</v>
      </c>
      <c r="B50" t="s">
        <v>318</v>
      </c>
      <c r="C50">
        <v>2021</v>
      </c>
      <c r="F50" s="13">
        <v>3038</v>
      </c>
      <c r="G50" t="str">
        <f>VLOOKUP(F50,'Liste Formations'!$A$5:$B$182,2,FALSE)</f>
        <v>Poste 1401</v>
      </c>
      <c r="H50">
        <v>151.66999999999999</v>
      </c>
    </row>
    <row r="51" spans="1:8" x14ac:dyDescent="0.25">
      <c r="A51">
        <v>414</v>
      </c>
      <c r="B51" t="s">
        <v>318</v>
      </c>
      <c r="C51">
        <v>2022</v>
      </c>
      <c r="F51" s="13">
        <v>3001</v>
      </c>
      <c r="G51" t="str">
        <f>VLOOKUP(F51,'Liste Formations'!$A$5:$B$182,2,FALSE)</f>
        <v>Poste 506</v>
      </c>
      <c r="H51">
        <v>151.66999999999999</v>
      </c>
    </row>
    <row r="52" spans="1:8" x14ac:dyDescent="0.25">
      <c r="A52">
        <v>414</v>
      </c>
      <c r="B52" t="s">
        <v>318</v>
      </c>
      <c r="C52">
        <v>2022</v>
      </c>
      <c r="F52" s="13">
        <v>3024</v>
      </c>
      <c r="G52" t="str">
        <f>VLOOKUP(F52,'Liste Formations'!$A$5:$B$182,2,FALSE)</f>
        <v>Poste 924</v>
      </c>
      <c r="H52">
        <v>151.66999999999999</v>
      </c>
    </row>
    <row r="53" spans="1:8" x14ac:dyDescent="0.25">
      <c r="A53">
        <v>414</v>
      </c>
      <c r="B53" t="s">
        <v>318</v>
      </c>
      <c r="C53">
        <v>2023</v>
      </c>
      <c r="F53" s="13">
        <v>1002</v>
      </c>
      <c r="G53" t="str">
        <f>VLOOKUP(F53,'Liste Formations'!$A$5:$B$182,2,FALSE)</f>
        <v>Conduite Chariots Cat.3 et Cat.5</v>
      </c>
      <c r="H53">
        <v>14</v>
      </c>
    </row>
    <row r="54" spans="1:8" x14ac:dyDescent="0.25">
      <c r="A54">
        <v>414</v>
      </c>
      <c r="B54" t="s">
        <v>318</v>
      </c>
      <c r="C54">
        <v>2023</v>
      </c>
      <c r="F54" s="13">
        <v>1012</v>
      </c>
      <c r="G54" t="str">
        <f>VLOOKUP(F54,'Liste Formations'!$A$5:$B$182,2,FALSE)</f>
        <v>ATEX Niveau 0 - Sensibilisation</v>
      </c>
      <c r="H54">
        <v>3.5</v>
      </c>
    </row>
    <row r="55" spans="1:8" x14ac:dyDescent="0.25">
      <c r="A55">
        <v>414</v>
      </c>
      <c r="B55" t="s">
        <v>318</v>
      </c>
      <c r="C55">
        <v>2023</v>
      </c>
      <c r="F55" s="13">
        <v>1014</v>
      </c>
      <c r="G55" t="str">
        <f>VLOOKUP(F55,'Liste Formations'!$A$5:$B$182,2,FALSE)</f>
        <v>Membres CSE</v>
      </c>
      <c r="H55">
        <v>35</v>
      </c>
    </row>
    <row r="56" spans="1:8" x14ac:dyDescent="0.25">
      <c r="A56">
        <v>414</v>
      </c>
      <c r="B56" t="s">
        <v>318</v>
      </c>
      <c r="C56">
        <v>2023</v>
      </c>
      <c r="F56" s="13">
        <v>3039</v>
      </c>
      <c r="G56" t="str">
        <f>VLOOKUP(F56,'Liste Formations'!$A$5:$B$182,2,FALSE)</f>
        <v>Poste 1402</v>
      </c>
      <c r="H56">
        <v>151.66999999999999</v>
      </c>
    </row>
    <row r="57" spans="1:8" x14ac:dyDescent="0.25">
      <c r="A57">
        <v>414</v>
      </c>
      <c r="B57" t="s">
        <v>318</v>
      </c>
      <c r="C57">
        <v>2023</v>
      </c>
      <c r="F57" s="13">
        <v>3042</v>
      </c>
      <c r="G57" t="str">
        <f>VLOOKUP(F57,'Liste Formations'!$A$5:$B$182,2,FALSE)</f>
        <v>Poste 1406</v>
      </c>
      <c r="H57">
        <v>151.66999999999999</v>
      </c>
    </row>
    <row r="58" spans="1:8" x14ac:dyDescent="0.25">
      <c r="A58">
        <v>414</v>
      </c>
      <c r="B58" t="s">
        <v>318</v>
      </c>
      <c r="C58">
        <v>2023</v>
      </c>
      <c r="F58" s="13">
        <v>3043</v>
      </c>
      <c r="G58" t="str">
        <f>VLOOKUP(F58,'Liste Formations'!$A$5:$B$182,2,FALSE)</f>
        <v>Poste 1412</v>
      </c>
      <c r="H58">
        <v>151.66999999999999</v>
      </c>
    </row>
    <row r="59" spans="1:8" x14ac:dyDescent="0.25">
      <c r="A59">
        <v>414</v>
      </c>
      <c r="B59" t="s">
        <v>318</v>
      </c>
      <c r="C59">
        <v>2024</v>
      </c>
      <c r="F59" s="13">
        <v>1009</v>
      </c>
      <c r="G59" t="str">
        <f>VLOOKUP(F59,'Liste Formations'!$A$5:$B$182,2,FALSE)</f>
        <v>Défibrillateur</v>
      </c>
      <c r="H59">
        <v>2</v>
      </c>
    </row>
    <row r="60" spans="1:8" x14ac:dyDescent="0.25">
      <c r="A60">
        <v>414</v>
      </c>
      <c r="B60" t="s">
        <v>318</v>
      </c>
      <c r="C60">
        <v>2024</v>
      </c>
      <c r="F60" s="13">
        <v>1010</v>
      </c>
      <c r="G60" t="str">
        <f>VLOOKUP(F60,'Liste Formations'!$A$5:$B$182,2,FALSE)</f>
        <v>Incendie</v>
      </c>
      <c r="H60">
        <v>2</v>
      </c>
    </row>
    <row r="61" spans="1:8" x14ac:dyDescent="0.25">
      <c r="A61">
        <v>414</v>
      </c>
      <c r="B61" t="s">
        <v>318</v>
      </c>
      <c r="C61">
        <v>2024</v>
      </c>
      <c r="F61" s="13">
        <v>1016</v>
      </c>
      <c r="G61" t="str">
        <f>VLOOKUP(F61,'Liste Formations'!$A$5:$B$182,2,FALSE)</f>
        <v>S.S.T. Sauveteurs Secourites du Travail</v>
      </c>
      <c r="H61">
        <v>14</v>
      </c>
    </row>
    <row r="62" spans="1:8" x14ac:dyDescent="0.25">
      <c r="A62">
        <v>414</v>
      </c>
      <c r="B62" t="s">
        <v>318</v>
      </c>
      <c r="C62">
        <v>2024</v>
      </c>
      <c r="F62" s="13">
        <v>1033</v>
      </c>
      <c r="G62" t="str">
        <f>VLOOKUP(F62,'Liste Formations'!$A$5:$B$182,2,FALSE)</f>
        <v>Sensibilisation aux addictions</v>
      </c>
      <c r="H62">
        <v>1.5</v>
      </c>
    </row>
    <row r="63" spans="1:8" x14ac:dyDescent="0.25">
      <c r="A63">
        <v>414</v>
      </c>
      <c r="B63" t="s">
        <v>318</v>
      </c>
      <c r="C63">
        <v>2024</v>
      </c>
      <c r="F63" s="13">
        <v>1006</v>
      </c>
      <c r="G63" t="str">
        <f>VLOOKUP(F63,'Liste Formations'!$A$5:$B$182,2,FALSE)</f>
        <v>Habilitation électrique BE Manœuvre BS</v>
      </c>
      <c r="H63">
        <v>14</v>
      </c>
    </row>
    <row r="65" spans="1:9" x14ac:dyDescent="0.25">
      <c r="D65" s="18"/>
      <c r="E65" s="18"/>
    </row>
    <row r="66" spans="1:9" x14ac:dyDescent="0.25">
      <c r="A66">
        <v>169</v>
      </c>
      <c r="B66" t="s">
        <v>65</v>
      </c>
      <c r="C66">
        <v>2023</v>
      </c>
      <c r="F66" s="13">
        <v>1004</v>
      </c>
      <c r="G66" t="str">
        <f>VLOOKUP(F66,'Liste Formations'!$A$5:$B$182,2,FALSE)</f>
        <v>Conduite Chariots Cat.3</v>
      </c>
      <c r="H66">
        <v>7</v>
      </c>
    </row>
    <row r="68" spans="1:9" x14ac:dyDescent="0.25">
      <c r="A68">
        <v>10000024</v>
      </c>
      <c r="B68" t="s">
        <v>66</v>
      </c>
      <c r="C68">
        <v>2023</v>
      </c>
      <c r="F68" s="13">
        <v>3016</v>
      </c>
      <c r="G68" t="str">
        <f>VLOOKUP(F68,'Liste Formations'!$A$5:$B$182,2,FALSE)</f>
        <v>Poste 904</v>
      </c>
      <c r="H68">
        <v>151.66999999999999</v>
      </c>
    </row>
    <row r="69" spans="1:9" x14ac:dyDescent="0.25">
      <c r="A69">
        <v>10000024</v>
      </c>
      <c r="B69" t="s">
        <v>66</v>
      </c>
      <c r="C69">
        <v>2023</v>
      </c>
      <c r="F69" s="13">
        <v>3026</v>
      </c>
      <c r="G69" t="str">
        <f>VLOOKUP(F69,'Liste Formations'!$A$5:$B$182,2,FALSE)</f>
        <v>Poste 940</v>
      </c>
      <c r="H69">
        <v>151.66999999999999</v>
      </c>
    </row>
    <row r="70" spans="1:9" x14ac:dyDescent="0.25">
      <c r="A70">
        <v>10000024</v>
      </c>
      <c r="B70" t="s">
        <v>66</v>
      </c>
      <c r="C70">
        <v>2023</v>
      </c>
      <c r="F70" s="13">
        <v>3028</v>
      </c>
      <c r="G70" t="str">
        <f>VLOOKUP(F70,'Liste Formations'!$A$5:$B$182,2,FALSE)</f>
        <v>Poste 942</v>
      </c>
      <c r="H70">
        <v>151.66999999999999</v>
      </c>
    </row>
    <row r="71" spans="1:9" x14ac:dyDescent="0.25">
      <c r="A71">
        <v>493</v>
      </c>
      <c r="B71" t="s">
        <v>66</v>
      </c>
      <c r="C71">
        <v>2024</v>
      </c>
      <c r="F71" s="13">
        <v>3002</v>
      </c>
      <c r="G71" s="15" t="s">
        <v>24</v>
      </c>
      <c r="H71" s="73">
        <v>105</v>
      </c>
    </row>
    <row r="72" spans="1:9" x14ac:dyDescent="0.25">
      <c r="A72">
        <v>493</v>
      </c>
      <c r="B72" t="s">
        <v>66</v>
      </c>
      <c r="C72">
        <v>2024</v>
      </c>
      <c r="F72" s="13">
        <v>3006</v>
      </c>
      <c r="G72" s="15" t="s">
        <v>25</v>
      </c>
      <c r="H72" s="73">
        <v>70</v>
      </c>
    </row>
    <row r="73" spans="1:9" x14ac:dyDescent="0.25">
      <c r="A73">
        <v>493</v>
      </c>
      <c r="B73" t="s">
        <v>66</v>
      </c>
      <c r="C73">
        <v>2025</v>
      </c>
      <c r="D73" s="18">
        <v>45814</v>
      </c>
      <c r="E73" s="18">
        <v>45814</v>
      </c>
      <c r="F73" s="13">
        <v>2031</v>
      </c>
      <c r="G73" s="15" t="s">
        <v>180</v>
      </c>
      <c r="H73" s="75">
        <v>2</v>
      </c>
      <c r="I73" t="s">
        <v>304</v>
      </c>
    </row>
    <row r="74" spans="1:9" x14ac:dyDescent="0.25">
      <c r="A74">
        <v>493</v>
      </c>
      <c r="B74" t="s">
        <v>66</v>
      </c>
      <c r="C74">
        <v>2025</v>
      </c>
      <c r="D74" s="18">
        <v>45835</v>
      </c>
      <c r="E74" s="18">
        <v>45842</v>
      </c>
      <c r="F74" s="13">
        <v>1004</v>
      </c>
      <c r="G74" t="s">
        <v>206</v>
      </c>
      <c r="H74">
        <v>14</v>
      </c>
      <c r="I74" t="s">
        <v>280</v>
      </c>
    </row>
    <row r="77" spans="1:9" x14ac:dyDescent="0.25">
      <c r="A77">
        <v>56</v>
      </c>
      <c r="B77" t="s">
        <v>67</v>
      </c>
      <c r="C77">
        <v>2010</v>
      </c>
      <c r="F77" s="13">
        <v>3025</v>
      </c>
      <c r="G77" t="str">
        <f>VLOOKUP(F77,'Liste Formations'!$A$5:$B$182,2,FALSE)</f>
        <v>Poste 930</v>
      </c>
      <c r="H77">
        <v>151.66999999999999</v>
      </c>
    </row>
    <row r="78" spans="1:9" x14ac:dyDescent="0.25">
      <c r="A78">
        <v>56</v>
      </c>
      <c r="B78" t="s">
        <v>67</v>
      </c>
      <c r="C78">
        <v>2011</v>
      </c>
      <c r="F78" s="13">
        <v>3007</v>
      </c>
      <c r="G78" t="str">
        <f>VLOOKUP(F78,'Liste Formations'!$A$5:$B$182,2,FALSE)</f>
        <v>Poste 516</v>
      </c>
      <c r="H78">
        <v>151.66999999999999</v>
      </c>
    </row>
    <row r="79" spans="1:9" x14ac:dyDescent="0.25">
      <c r="A79">
        <v>56</v>
      </c>
      <c r="B79" t="s">
        <v>67</v>
      </c>
      <c r="C79">
        <v>2011</v>
      </c>
      <c r="F79" s="13">
        <v>3012</v>
      </c>
      <c r="G79" t="str">
        <f>VLOOKUP(F79,'Liste Formations'!$A$5:$B$182,2,FALSE)</f>
        <v>Poste 900</v>
      </c>
      <c r="H79">
        <v>151.66999999999999</v>
      </c>
    </row>
    <row r="80" spans="1:9" x14ac:dyDescent="0.25">
      <c r="A80">
        <v>56</v>
      </c>
      <c r="B80" t="s">
        <v>67</v>
      </c>
      <c r="C80">
        <v>2011</v>
      </c>
      <c r="F80" s="13">
        <v>3020</v>
      </c>
      <c r="G80" t="str">
        <f>VLOOKUP(F80,'Liste Formations'!$A$5:$B$182,2,FALSE)</f>
        <v>Poste 908</v>
      </c>
      <c r="H80">
        <v>151.66999999999999</v>
      </c>
    </row>
    <row r="81" spans="1:8" x14ac:dyDescent="0.25">
      <c r="A81">
        <v>56</v>
      </c>
      <c r="B81" t="s">
        <v>67</v>
      </c>
      <c r="C81">
        <v>2011</v>
      </c>
      <c r="F81" s="13">
        <v>3021</v>
      </c>
      <c r="G81" t="str">
        <f>VLOOKUP(F81,'Liste Formations'!$A$5:$B$182,2,FALSE)</f>
        <v>Poste 912</v>
      </c>
      <c r="H81">
        <v>151.66999999999999</v>
      </c>
    </row>
    <row r="82" spans="1:8" x14ac:dyDescent="0.25">
      <c r="A82">
        <v>56</v>
      </c>
      <c r="B82" t="s">
        <v>67</v>
      </c>
      <c r="C82">
        <v>2011</v>
      </c>
      <c r="F82" s="13">
        <v>3025</v>
      </c>
      <c r="G82" t="str">
        <f>VLOOKUP(F82,'Liste Formations'!$A$5:$B$182,2,FALSE)</f>
        <v>Poste 930</v>
      </c>
      <c r="H82">
        <v>151.66999999999999</v>
      </c>
    </row>
    <row r="83" spans="1:8" x14ac:dyDescent="0.25">
      <c r="A83">
        <v>56</v>
      </c>
      <c r="B83" t="s">
        <v>67</v>
      </c>
      <c r="C83">
        <v>2011</v>
      </c>
      <c r="F83" s="13">
        <v>3043</v>
      </c>
      <c r="G83" t="str">
        <f>VLOOKUP(F83,'Liste Formations'!$A$5:$B$182,2,FALSE)</f>
        <v>Poste 1412</v>
      </c>
      <c r="H83">
        <v>151.66999999999999</v>
      </c>
    </row>
    <row r="84" spans="1:8" x14ac:dyDescent="0.25">
      <c r="A84">
        <v>56</v>
      </c>
      <c r="B84" t="s">
        <v>67</v>
      </c>
      <c r="C84">
        <v>2012</v>
      </c>
      <c r="F84" s="13">
        <v>1010</v>
      </c>
      <c r="G84" t="str">
        <f>VLOOKUP(F84,'Liste Formations'!$A$5:$B$182,2,FALSE)</f>
        <v>Incendie</v>
      </c>
      <c r="H84">
        <v>2.5</v>
      </c>
    </row>
    <row r="85" spans="1:8" x14ac:dyDescent="0.25">
      <c r="A85">
        <v>56</v>
      </c>
      <c r="B85" t="s">
        <v>67</v>
      </c>
      <c r="C85">
        <v>2012</v>
      </c>
      <c r="F85" s="13">
        <v>1024</v>
      </c>
      <c r="G85" t="str">
        <f>VLOOKUP(F85,'Liste Formations'!$A$5:$B$182,2,FALSE)</f>
        <v>Déversement granulés</v>
      </c>
      <c r="H85">
        <v>1</v>
      </c>
    </row>
    <row r="86" spans="1:8" x14ac:dyDescent="0.25">
      <c r="A86">
        <v>56</v>
      </c>
      <c r="B86" t="s">
        <v>67</v>
      </c>
      <c r="C86">
        <v>2013</v>
      </c>
      <c r="F86" s="13">
        <v>3012</v>
      </c>
      <c r="G86" t="str">
        <f>VLOOKUP(F86,'Liste Formations'!$A$5:$B$182,2,FALSE)</f>
        <v>Poste 900</v>
      </c>
      <c r="H86">
        <v>151.66999999999999</v>
      </c>
    </row>
    <row r="87" spans="1:8" x14ac:dyDescent="0.25">
      <c r="A87">
        <v>56</v>
      </c>
      <c r="B87" t="s">
        <v>67</v>
      </c>
      <c r="C87">
        <v>2013</v>
      </c>
      <c r="F87" s="13">
        <v>3020</v>
      </c>
      <c r="G87" t="str">
        <f>VLOOKUP(F87,'Liste Formations'!$A$5:$B$182,2,FALSE)</f>
        <v>Poste 908</v>
      </c>
      <c r="H87">
        <v>151.66999999999999</v>
      </c>
    </row>
    <row r="88" spans="1:8" x14ac:dyDescent="0.25">
      <c r="A88">
        <v>56</v>
      </c>
      <c r="B88" t="s">
        <v>67</v>
      </c>
      <c r="C88">
        <v>2013</v>
      </c>
      <c r="F88" s="13">
        <v>3021</v>
      </c>
      <c r="G88" t="str">
        <f>VLOOKUP(F88,'Liste Formations'!$A$5:$B$182,2,FALSE)</f>
        <v>Poste 912</v>
      </c>
      <c r="H88">
        <v>151.66999999999999</v>
      </c>
    </row>
    <row r="89" spans="1:8" x14ac:dyDescent="0.25">
      <c r="A89">
        <v>56</v>
      </c>
      <c r="B89" t="s">
        <v>67</v>
      </c>
      <c r="C89">
        <v>2013</v>
      </c>
      <c r="F89" s="13">
        <v>1024</v>
      </c>
      <c r="G89" t="str">
        <f>VLOOKUP(F89,'Liste Formations'!$A$5:$B$182,2,FALSE)</f>
        <v>Déversement granulés</v>
      </c>
      <c r="H89">
        <v>1</v>
      </c>
    </row>
    <row r="90" spans="1:8" x14ac:dyDescent="0.25">
      <c r="A90">
        <v>56</v>
      </c>
      <c r="B90" t="s">
        <v>67</v>
      </c>
      <c r="C90">
        <v>2013</v>
      </c>
      <c r="F90" s="13">
        <v>1025</v>
      </c>
      <c r="G90" t="str">
        <f>VLOOKUP(F90,'Liste Formations'!$A$5:$B$182,2,FALSE)</f>
        <v>Manipulation Nanocharges</v>
      </c>
      <c r="H90">
        <v>0.5</v>
      </c>
    </row>
    <row r="91" spans="1:8" x14ac:dyDescent="0.25">
      <c r="A91">
        <v>56</v>
      </c>
      <c r="B91" t="s">
        <v>67</v>
      </c>
      <c r="C91">
        <v>2014</v>
      </c>
      <c r="F91" s="13">
        <v>1020</v>
      </c>
      <c r="G91" t="str">
        <f>VLOOKUP(F91,'Liste Formations'!$A$5:$B$182,2,FALSE)</f>
        <v>Prévention TMS - Gestes Postures et Nutrition</v>
      </c>
      <c r="H91">
        <v>3.5</v>
      </c>
    </row>
    <row r="92" spans="1:8" x14ac:dyDescent="0.25">
      <c r="A92">
        <v>56</v>
      </c>
      <c r="B92" t="s">
        <v>67</v>
      </c>
      <c r="C92">
        <v>2014</v>
      </c>
      <c r="F92" s="13">
        <v>3025</v>
      </c>
      <c r="G92" t="str">
        <f>VLOOKUP(F92,'Liste Formations'!$A$5:$B$182,2,FALSE)</f>
        <v>Poste 930</v>
      </c>
      <c r="H92">
        <v>151.66999999999999</v>
      </c>
    </row>
    <row r="93" spans="1:8" x14ac:dyDescent="0.25">
      <c r="A93">
        <v>56</v>
      </c>
      <c r="B93" t="s">
        <v>67</v>
      </c>
      <c r="C93">
        <v>2014</v>
      </c>
      <c r="F93" s="13">
        <v>3043</v>
      </c>
      <c r="G93" t="str">
        <f>VLOOKUP(F93,'Liste Formations'!$A$5:$B$182,2,FALSE)</f>
        <v>Poste 1412</v>
      </c>
      <c r="H93">
        <v>151.66999999999999</v>
      </c>
    </row>
    <row r="94" spans="1:8" x14ac:dyDescent="0.25">
      <c r="A94">
        <v>56</v>
      </c>
      <c r="B94" t="s">
        <v>67</v>
      </c>
      <c r="C94">
        <v>2015</v>
      </c>
      <c r="F94" s="13">
        <v>3012</v>
      </c>
      <c r="G94" t="str">
        <f>VLOOKUP(F94,'Liste Formations'!$A$5:$B$182,2,FALSE)</f>
        <v>Poste 900</v>
      </c>
      <c r="H94">
        <v>151.66999999999999</v>
      </c>
    </row>
    <row r="95" spans="1:8" x14ac:dyDescent="0.25">
      <c r="A95">
        <v>56</v>
      </c>
      <c r="B95" t="s">
        <v>67</v>
      </c>
      <c r="C95">
        <v>2015</v>
      </c>
      <c r="F95" s="13">
        <v>3020</v>
      </c>
      <c r="G95" t="str">
        <f>VLOOKUP(F95,'Liste Formations'!$A$5:$B$182,2,FALSE)</f>
        <v>Poste 908</v>
      </c>
      <c r="H95">
        <v>151.66999999999999</v>
      </c>
    </row>
    <row r="96" spans="1:8" x14ac:dyDescent="0.25">
      <c r="A96">
        <v>56</v>
      </c>
      <c r="B96" t="s">
        <v>67</v>
      </c>
      <c r="C96">
        <v>2015</v>
      </c>
      <c r="F96" s="13">
        <v>3021</v>
      </c>
      <c r="G96" t="str">
        <f>VLOOKUP(F96,'Liste Formations'!$A$5:$B$182,2,FALSE)</f>
        <v>Poste 912</v>
      </c>
      <c r="H96">
        <v>151.66999999999999</v>
      </c>
    </row>
    <row r="97" spans="1:8" x14ac:dyDescent="0.25">
      <c r="A97">
        <v>56</v>
      </c>
      <c r="B97" t="s">
        <v>67</v>
      </c>
      <c r="C97">
        <v>2015</v>
      </c>
      <c r="F97" s="13">
        <v>3043</v>
      </c>
      <c r="G97" t="str">
        <f>VLOOKUP(F97,'Liste Formations'!$A$5:$B$182,2,FALSE)</f>
        <v>Poste 1412</v>
      </c>
      <c r="H97">
        <v>151.66999999999999</v>
      </c>
    </row>
    <row r="98" spans="1:8" x14ac:dyDescent="0.25">
      <c r="A98">
        <v>56</v>
      </c>
      <c r="B98" t="s">
        <v>67</v>
      </c>
      <c r="C98">
        <v>2015</v>
      </c>
      <c r="F98" s="13">
        <v>2005</v>
      </c>
      <c r="G98" t="str">
        <f>VLOOKUP(F98,'Liste Formations'!$A$5:$B$182,2,FALSE)</f>
        <v>Formation LEAN</v>
      </c>
      <c r="H98">
        <v>2</v>
      </c>
    </row>
    <row r="99" spans="1:8" x14ac:dyDescent="0.25">
      <c r="A99">
        <v>56</v>
      </c>
      <c r="B99" t="s">
        <v>67</v>
      </c>
      <c r="C99">
        <v>2015</v>
      </c>
      <c r="F99" s="13">
        <v>1009</v>
      </c>
      <c r="G99" t="str">
        <f>VLOOKUP(F99,'Liste Formations'!$A$5:$B$182,2,FALSE)</f>
        <v>Défibrillateur</v>
      </c>
      <c r="H99">
        <v>3</v>
      </c>
    </row>
    <row r="100" spans="1:8" x14ac:dyDescent="0.25">
      <c r="A100">
        <v>56</v>
      </c>
      <c r="B100" t="s">
        <v>67</v>
      </c>
      <c r="C100">
        <v>2016</v>
      </c>
      <c r="F100" s="13">
        <v>1017</v>
      </c>
      <c r="G100" t="str">
        <f>VLOOKUP(F100,'Liste Formations'!$A$5:$B$182,2,FALSE)</f>
        <v>R. S.S.T. Recyclage Sauveteurs Secourites du Travail</v>
      </c>
      <c r="H100">
        <v>7</v>
      </c>
    </row>
    <row r="101" spans="1:8" x14ac:dyDescent="0.25">
      <c r="A101">
        <v>56</v>
      </c>
      <c r="B101" t="s">
        <v>67</v>
      </c>
      <c r="C101">
        <v>2016</v>
      </c>
      <c r="F101" s="13">
        <v>2007</v>
      </c>
      <c r="G101" t="str">
        <f>VLOOKUP(F101,'Liste Formations'!$A$5:$B$182,2,FALSE)</f>
        <v>ERP DIVALTO</v>
      </c>
      <c r="H101">
        <v>7</v>
      </c>
    </row>
    <row r="102" spans="1:8" x14ac:dyDescent="0.25">
      <c r="A102">
        <v>56</v>
      </c>
      <c r="B102" t="s">
        <v>67</v>
      </c>
      <c r="C102">
        <v>2016</v>
      </c>
      <c r="F102" s="13">
        <v>1412</v>
      </c>
      <c r="G102" t="e">
        <f>VLOOKUP(F102,'Liste Formations'!$A$5:$B$182,2,FALSE)</f>
        <v>#N/A</v>
      </c>
      <c r="H102">
        <v>151.66999999999999</v>
      </c>
    </row>
    <row r="103" spans="1:8" x14ac:dyDescent="0.25">
      <c r="A103">
        <v>56</v>
      </c>
      <c r="B103" t="s">
        <v>67</v>
      </c>
      <c r="C103">
        <v>2017</v>
      </c>
      <c r="F103" s="13">
        <v>3020</v>
      </c>
      <c r="G103" t="str">
        <f>VLOOKUP(F103,'Liste Formations'!$A$5:$B$182,2,FALSE)</f>
        <v>Poste 908</v>
      </c>
      <c r="H103">
        <v>151.66999999999999</v>
      </c>
    </row>
    <row r="104" spans="1:8" x14ac:dyDescent="0.25">
      <c r="A104">
        <v>56</v>
      </c>
      <c r="B104" t="s">
        <v>67</v>
      </c>
      <c r="C104">
        <v>2017</v>
      </c>
      <c r="F104" s="13">
        <v>3012</v>
      </c>
      <c r="G104" t="str">
        <f>VLOOKUP(F104,'Liste Formations'!$A$5:$B$182,2,FALSE)</f>
        <v>Poste 900</v>
      </c>
      <c r="H104">
        <v>151.66999999999999</v>
      </c>
    </row>
    <row r="105" spans="1:8" x14ac:dyDescent="0.25">
      <c r="A105">
        <v>56</v>
      </c>
      <c r="B105" t="s">
        <v>67</v>
      </c>
      <c r="C105">
        <v>2017</v>
      </c>
      <c r="F105" s="13">
        <v>2007</v>
      </c>
      <c r="G105" t="str">
        <f>VLOOKUP(F105,'Liste Formations'!$A$5:$B$182,2,FALSE)</f>
        <v>ERP DIVALTO</v>
      </c>
      <c r="H105">
        <v>3</v>
      </c>
    </row>
    <row r="106" spans="1:8" x14ac:dyDescent="0.25">
      <c r="A106">
        <v>56</v>
      </c>
      <c r="B106" t="s">
        <v>67</v>
      </c>
      <c r="C106">
        <v>2017</v>
      </c>
      <c r="F106" s="13">
        <v>1017</v>
      </c>
      <c r="G106" t="str">
        <f>VLOOKUP(F106,'Liste Formations'!$A$5:$B$182,2,FALSE)</f>
        <v>R. S.S.T. Recyclage Sauveteurs Secourites du Travail</v>
      </c>
      <c r="H106">
        <v>7</v>
      </c>
    </row>
    <row r="107" spans="1:8" x14ac:dyDescent="0.25">
      <c r="A107">
        <v>56</v>
      </c>
      <c r="B107" t="s">
        <v>67</v>
      </c>
      <c r="C107">
        <v>2017</v>
      </c>
      <c r="F107" s="13">
        <v>1008</v>
      </c>
      <c r="G107" t="str">
        <f>VLOOKUP(F107,'Liste Formations'!$A$5:$B$182,2,FALSE)</f>
        <v>Habilitation électrique HC/H2V/HE Manœuvre</v>
      </c>
      <c r="H107">
        <v>2</v>
      </c>
    </row>
    <row r="108" spans="1:8" x14ac:dyDescent="0.25">
      <c r="A108">
        <v>56</v>
      </c>
      <c r="B108" t="s">
        <v>67</v>
      </c>
      <c r="C108">
        <v>2017</v>
      </c>
      <c r="F108" s="13">
        <v>1009</v>
      </c>
      <c r="G108" t="str">
        <f>VLOOKUP(F108,'Liste Formations'!$A$5:$B$182,2,FALSE)</f>
        <v>Défibrillateur</v>
      </c>
      <c r="H108">
        <v>2</v>
      </c>
    </row>
    <row r="109" spans="1:8" x14ac:dyDescent="0.25">
      <c r="A109">
        <v>56</v>
      </c>
      <c r="B109" t="s">
        <v>67</v>
      </c>
      <c r="C109">
        <v>2018</v>
      </c>
      <c r="F109" s="13">
        <v>1004</v>
      </c>
      <c r="G109" t="str">
        <f>VLOOKUP(F109,'Liste Formations'!$A$5:$B$182,2,FALSE)</f>
        <v>Conduite Chariots Cat.3</v>
      </c>
      <c r="H109">
        <v>7</v>
      </c>
    </row>
    <row r="110" spans="1:8" x14ac:dyDescent="0.25">
      <c r="A110">
        <v>56</v>
      </c>
      <c r="B110" t="s">
        <v>67</v>
      </c>
      <c r="C110">
        <v>2018</v>
      </c>
      <c r="F110" s="13">
        <v>1020</v>
      </c>
      <c r="G110" t="str">
        <f>VLOOKUP(F110,'Liste Formations'!$A$5:$B$182,2,FALSE)</f>
        <v>Prévention TMS - Gestes Postures et Nutrition</v>
      </c>
      <c r="H110">
        <v>3.5</v>
      </c>
    </row>
    <row r="111" spans="1:8" x14ac:dyDescent="0.25">
      <c r="A111">
        <v>56</v>
      </c>
      <c r="B111" t="s">
        <v>67</v>
      </c>
      <c r="C111">
        <v>2018</v>
      </c>
      <c r="F111" s="13">
        <v>3043</v>
      </c>
      <c r="G111" t="str">
        <f>VLOOKUP(F111,'Liste Formations'!$A$5:$B$182,2,FALSE)</f>
        <v>Poste 1412</v>
      </c>
      <c r="H111">
        <v>151.66999999999999</v>
      </c>
    </row>
    <row r="112" spans="1:8" x14ac:dyDescent="0.25">
      <c r="A112">
        <v>56</v>
      </c>
      <c r="B112" t="s">
        <v>67</v>
      </c>
      <c r="C112">
        <v>2019</v>
      </c>
      <c r="F112" s="13">
        <v>3012</v>
      </c>
      <c r="G112" t="str">
        <f>VLOOKUP(F112,'Liste Formations'!$A$5:$B$182,2,FALSE)</f>
        <v>Poste 900</v>
      </c>
      <c r="H112">
        <v>151.66999999999999</v>
      </c>
    </row>
    <row r="113" spans="1:9" x14ac:dyDescent="0.25">
      <c r="A113">
        <v>56</v>
      </c>
      <c r="B113" t="s">
        <v>67</v>
      </c>
      <c r="C113">
        <v>2019</v>
      </c>
      <c r="F113" s="13">
        <v>1017</v>
      </c>
      <c r="G113" t="str">
        <f>VLOOKUP(F113,'Liste Formations'!$A$5:$B$182,2,FALSE)</f>
        <v>R. S.S.T. Recyclage Sauveteurs Secourites du Travail</v>
      </c>
      <c r="H113">
        <v>7</v>
      </c>
    </row>
    <row r="114" spans="1:9" x14ac:dyDescent="0.25">
      <c r="A114">
        <v>56</v>
      </c>
      <c r="B114" t="s">
        <v>67</v>
      </c>
      <c r="C114">
        <v>2020</v>
      </c>
      <c r="F114" s="13">
        <v>2007</v>
      </c>
      <c r="G114" t="str">
        <f>VLOOKUP(F114,'Liste Formations'!$A$5:$B$182,2,FALSE)</f>
        <v>ERP DIVALTO</v>
      </c>
      <c r="H114">
        <v>2.5</v>
      </c>
    </row>
    <row r="115" spans="1:9" x14ac:dyDescent="0.25">
      <c r="A115">
        <v>56</v>
      </c>
      <c r="B115" t="s">
        <v>67</v>
      </c>
      <c r="C115">
        <v>2023</v>
      </c>
      <c r="F115" s="13">
        <v>1001</v>
      </c>
      <c r="G115" t="str">
        <f>VLOOKUP(F115,'Liste Formations'!$A$5:$B$182,2,FALSE)</f>
        <v>Conduite nacelle CACES R486A  Plate forme mobile</v>
      </c>
      <c r="H115">
        <v>21</v>
      </c>
    </row>
    <row r="116" spans="1:9" x14ac:dyDescent="0.25">
      <c r="A116">
        <v>56</v>
      </c>
      <c r="B116" t="s">
        <v>67</v>
      </c>
      <c r="C116">
        <v>2023</v>
      </c>
      <c r="F116" s="13">
        <v>1003</v>
      </c>
      <c r="G116" t="str">
        <f>VLOOKUP(F116,'Liste Formations'!$A$5:$B$182,2,FALSE)</f>
        <v>Conduite Chariots Cat.5</v>
      </c>
      <c r="H116">
        <v>4</v>
      </c>
    </row>
    <row r="117" spans="1:9" x14ac:dyDescent="0.25">
      <c r="A117">
        <v>56</v>
      </c>
      <c r="B117" t="s">
        <v>67</v>
      </c>
      <c r="C117">
        <v>2023</v>
      </c>
      <c r="F117" s="13">
        <v>1004</v>
      </c>
      <c r="G117" t="str">
        <f>VLOOKUP(F117,'Liste Formations'!$A$5:$B$182,2,FALSE)</f>
        <v>Conduite Chariots Cat.3</v>
      </c>
      <c r="H117">
        <v>7</v>
      </c>
    </row>
    <row r="118" spans="1:9" x14ac:dyDescent="0.25">
      <c r="A118">
        <v>56</v>
      </c>
      <c r="B118" t="s">
        <v>67</v>
      </c>
      <c r="C118">
        <v>2023</v>
      </c>
      <c r="F118" s="13">
        <v>1006</v>
      </c>
      <c r="G118" t="str">
        <f>VLOOKUP(F118,'Liste Formations'!$A$5:$B$182,2,FALSE)</f>
        <v>Habilitation électrique BE Manœuvre BS</v>
      </c>
      <c r="H118">
        <v>14</v>
      </c>
    </row>
    <row r="119" spans="1:9" x14ac:dyDescent="0.25">
      <c r="A119">
        <v>56</v>
      </c>
      <c r="B119" t="s">
        <v>67</v>
      </c>
      <c r="C119">
        <v>2023</v>
      </c>
      <c r="F119" s="13">
        <v>1010</v>
      </c>
      <c r="G119" t="s">
        <v>222</v>
      </c>
      <c r="H119">
        <v>2</v>
      </c>
    </row>
    <row r="120" spans="1:9" x14ac:dyDescent="0.25">
      <c r="A120">
        <v>56</v>
      </c>
      <c r="B120" t="s">
        <v>67</v>
      </c>
      <c r="C120">
        <v>2023</v>
      </c>
      <c r="F120" s="13">
        <v>1009</v>
      </c>
      <c r="G120" t="str">
        <f>VLOOKUP(F120,'Liste Formations'!$A$5:$B$182,2,FALSE)</f>
        <v>Défibrillateur</v>
      </c>
      <c r="H120">
        <v>2</v>
      </c>
    </row>
    <row r="121" spans="1:9" x14ac:dyDescent="0.25">
      <c r="A121">
        <v>56</v>
      </c>
      <c r="B121" t="s">
        <v>67</v>
      </c>
      <c r="C121">
        <v>2023</v>
      </c>
      <c r="F121" s="13">
        <v>1012</v>
      </c>
      <c r="G121" t="str">
        <f>VLOOKUP(F121,'Liste Formations'!$A$5:$B$182,2,FALSE)</f>
        <v>ATEX Niveau 0 - Sensibilisation</v>
      </c>
      <c r="H121">
        <v>3.5</v>
      </c>
    </row>
    <row r="122" spans="1:9" x14ac:dyDescent="0.25">
      <c r="A122">
        <v>56</v>
      </c>
      <c r="B122" t="s">
        <v>67</v>
      </c>
      <c r="C122">
        <v>2023</v>
      </c>
      <c r="F122" s="13">
        <v>1024</v>
      </c>
      <c r="G122" t="str">
        <f>VLOOKUP(F122,'Liste Formations'!$A$5:$B$182,2,FALSE)</f>
        <v>Déversement granulés</v>
      </c>
      <c r="H122">
        <v>0.5</v>
      </c>
    </row>
    <row r="123" spans="1:9" x14ac:dyDescent="0.25">
      <c r="A123">
        <v>56</v>
      </c>
      <c r="B123" t="s">
        <v>67</v>
      </c>
      <c r="C123">
        <v>2023</v>
      </c>
      <c r="F123" s="13">
        <v>1030</v>
      </c>
      <c r="G123" t="str">
        <f>VLOOKUP(F123,'Liste Formations'!$A$5:$B$182,2,FALSE)</f>
        <v>Utilisation PTI</v>
      </c>
      <c r="H123">
        <v>0.5</v>
      </c>
    </row>
    <row r="124" spans="1:9" x14ac:dyDescent="0.25">
      <c r="A124">
        <v>56</v>
      </c>
      <c r="B124" t="s">
        <v>67</v>
      </c>
      <c r="C124">
        <v>2024</v>
      </c>
      <c r="F124" s="13">
        <v>1032</v>
      </c>
      <c r="G124" t="str">
        <f>VLOOKUP(F124,'Liste Formations'!$A$5:$B$182,2,FALSE)</f>
        <v>Sensibilisation RPS Risques Psychosociaux</v>
      </c>
      <c r="H124">
        <v>2</v>
      </c>
    </row>
    <row r="125" spans="1:9" x14ac:dyDescent="0.25">
      <c r="A125">
        <v>56</v>
      </c>
      <c r="B125" t="s">
        <v>67</v>
      </c>
      <c r="C125">
        <v>2024</v>
      </c>
      <c r="F125" s="13">
        <v>1020</v>
      </c>
      <c r="G125" t="str">
        <f>VLOOKUP(F125,'Liste Formations'!$A$5:$B$182,2,FALSE)</f>
        <v>Prévention TMS - Gestes Postures et Nutrition</v>
      </c>
      <c r="H125">
        <v>3.5</v>
      </c>
    </row>
    <row r="126" spans="1:9" x14ac:dyDescent="0.25">
      <c r="A126">
        <v>56</v>
      </c>
      <c r="B126" t="s">
        <v>67</v>
      </c>
      <c r="C126">
        <v>2024</v>
      </c>
      <c r="F126" s="13">
        <v>2031</v>
      </c>
      <c r="G126" t="str">
        <f>VLOOKUP(F126,'Liste Formations'!$A$5:$B$182,2,FALSE)</f>
        <v>Qualité</v>
      </c>
      <c r="H126">
        <v>2</v>
      </c>
    </row>
    <row r="127" spans="1:9" x14ac:dyDescent="0.25">
      <c r="A127">
        <v>56</v>
      </c>
      <c r="B127" t="s">
        <v>67</v>
      </c>
      <c r="C127">
        <v>2024</v>
      </c>
      <c r="F127" s="13">
        <v>1017</v>
      </c>
      <c r="G127" t="s">
        <v>303</v>
      </c>
      <c r="H127">
        <v>7</v>
      </c>
    </row>
    <row r="128" spans="1:9" x14ac:dyDescent="0.25">
      <c r="A128">
        <v>56</v>
      </c>
      <c r="B128" t="s">
        <v>67</v>
      </c>
      <c r="C128">
        <v>2025</v>
      </c>
      <c r="D128" s="18">
        <v>45681</v>
      </c>
      <c r="E128" s="18">
        <v>45709</v>
      </c>
      <c r="F128" s="13">
        <v>2051</v>
      </c>
      <c r="G128" t="s">
        <v>279</v>
      </c>
      <c r="H128" s="75">
        <v>28</v>
      </c>
      <c r="I128" t="s">
        <v>280</v>
      </c>
    </row>
    <row r="129" spans="1:8" x14ac:dyDescent="0.25">
      <c r="D129" s="18"/>
      <c r="E129" s="18"/>
    </row>
    <row r="130" spans="1:8" x14ac:dyDescent="0.25">
      <c r="D130" s="18"/>
      <c r="E130" s="18"/>
    </row>
    <row r="131" spans="1:8" x14ac:dyDescent="0.25">
      <c r="A131">
        <v>50</v>
      </c>
      <c r="B131" t="s">
        <v>68</v>
      </c>
      <c r="C131">
        <v>2011</v>
      </c>
      <c r="F131" s="13">
        <v>3021</v>
      </c>
      <c r="G131" t="str">
        <f>VLOOKUP(F131,'Liste Formations'!$A$5:$B$182,2,FALSE)</f>
        <v>Poste 912</v>
      </c>
      <c r="H131">
        <v>151.66999999999999</v>
      </c>
    </row>
    <row r="132" spans="1:8" x14ac:dyDescent="0.25">
      <c r="A132">
        <v>50</v>
      </c>
      <c r="B132" t="s">
        <v>68</v>
      </c>
      <c r="C132">
        <v>2011</v>
      </c>
      <c r="F132" s="13">
        <v>1004</v>
      </c>
      <c r="G132" t="str">
        <f>VLOOKUP(F132,'Liste Formations'!$A$5:$B$182,2,FALSE)</f>
        <v>Conduite Chariots Cat.3</v>
      </c>
      <c r="H132">
        <v>7</v>
      </c>
    </row>
    <row r="133" spans="1:8" x14ac:dyDescent="0.25">
      <c r="A133">
        <v>50</v>
      </c>
      <c r="B133" t="s">
        <v>68</v>
      </c>
      <c r="C133">
        <v>2013</v>
      </c>
      <c r="F133" s="13">
        <v>3009</v>
      </c>
      <c r="G133" t="str">
        <f>VLOOKUP(F133,'Liste Formations'!$A$5:$B$182,2,FALSE)</f>
        <v>Poste 610</v>
      </c>
      <c r="H133">
        <v>151.66999999999999</v>
      </c>
    </row>
    <row r="134" spans="1:8" x14ac:dyDescent="0.25">
      <c r="A134">
        <v>50</v>
      </c>
      <c r="B134" t="s">
        <v>68</v>
      </c>
      <c r="C134">
        <v>2013</v>
      </c>
      <c r="F134" s="13">
        <v>3021</v>
      </c>
      <c r="G134" t="str">
        <f>VLOOKUP(F134,'Liste Formations'!$A$5:$B$182,2,FALSE)</f>
        <v>Poste 912</v>
      </c>
      <c r="H134">
        <v>151.66999999999999</v>
      </c>
    </row>
    <row r="135" spans="1:8" x14ac:dyDescent="0.25">
      <c r="A135">
        <v>50</v>
      </c>
      <c r="B135" t="s">
        <v>68</v>
      </c>
      <c r="C135">
        <v>2013</v>
      </c>
      <c r="F135" s="13">
        <v>3029</v>
      </c>
      <c r="G135" t="str">
        <f>VLOOKUP(F135,'Liste Formations'!$A$5:$B$182,2,FALSE)</f>
        <v>Poste 1003</v>
      </c>
      <c r="H135">
        <v>151.66999999999999</v>
      </c>
    </row>
    <row r="136" spans="1:8" x14ac:dyDescent="0.25">
      <c r="A136">
        <v>50</v>
      </c>
      <c r="B136" t="s">
        <v>68</v>
      </c>
      <c r="C136">
        <v>2013</v>
      </c>
      <c r="F136" s="13">
        <v>3030</v>
      </c>
      <c r="G136" t="str">
        <f>VLOOKUP(F136,'Liste Formations'!$A$5:$B$182,2,FALSE)</f>
        <v>Poste 1004</v>
      </c>
      <c r="H136">
        <v>151.66999999999999</v>
      </c>
    </row>
    <row r="137" spans="1:8" x14ac:dyDescent="0.25">
      <c r="A137">
        <v>50</v>
      </c>
      <c r="B137" t="s">
        <v>68</v>
      </c>
      <c r="C137">
        <v>2013</v>
      </c>
      <c r="F137" s="13">
        <v>3035</v>
      </c>
      <c r="G137" t="str">
        <f>VLOOKUP(F137,'Liste Formations'!$A$5:$B$182,2,FALSE)</f>
        <v>Poste 1105</v>
      </c>
      <c r="H137">
        <v>151.66999999999999</v>
      </c>
    </row>
    <row r="138" spans="1:8" x14ac:dyDescent="0.25">
      <c r="A138">
        <v>50</v>
      </c>
      <c r="B138" t="s">
        <v>68</v>
      </c>
      <c r="C138">
        <v>2015</v>
      </c>
      <c r="F138" s="13">
        <v>1009</v>
      </c>
      <c r="G138" t="str">
        <f>VLOOKUP(F138,'Liste Formations'!$A$5:$B$182,2,FALSE)</f>
        <v>Défibrillateur</v>
      </c>
      <c r="H138">
        <v>3</v>
      </c>
    </row>
    <row r="139" spans="1:8" x14ac:dyDescent="0.25">
      <c r="A139">
        <v>50</v>
      </c>
      <c r="B139" t="s">
        <v>68</v>
      </c>
      <c r="C139">
        <v>2015</v>
      </c>
      <c r="F139" s="13">
        <v>2005</v>
      </c>
      <c r="G139" t="str">
        <f>VLOOKUP(F139,'Liste Formations'!$A$5:$B$182,2,FALSE)</f>
        <v>Formation LEAN</v>
      </c>
      <c r="H139">
        <v>2</v>
      </c>
    </row>
    <row r="140" spans="1:8" x14ac:dyDescent="0.25">
      <c r="A140">
        <v>50</v>
      </c>
      <c r="B140" t="s">
        <v>68</v>
      </c>
      <c r="C140">
        <v>2015</v>
      </c>
      <c r="F140" s="13">
        <v>3007</v>
      </c>
      <c r="G140" t="str">
        <f>VLOOKUP(F140,'Liste Formations'!$A$5:$B$182,2,FALSE)</f>
        <v>Poste 516</v>
      </c>
      <c r="H140">
        <v>151.66999999999999</v>
      </c>
    </row>
    <row r="141" spans="1:8" x14ac:dyDescent="0.25">
      <c r="A141">
        <v>50</v>
      </c>
      <c r="B141" t="s">
        <v>68</v>
      </c>
      <c r="C141">
        <v>2015</v>
      </c>
      <c r="F141" s="13">
        <v>3009</v>
      </c>
      <c r="G141" t="str">
        <f>VLOOKUP(F141,'Liste Formations'!$A$5:$B$182,2,FALSE)</f>
        <v>Poste 610</v>
      </c>
      <c r="H141">
        <v>151.66999999999999</v>
      </c>
    </row>
    <row r="142" spans="1:8" x14ac:dyDescent="0.25">
      <c r="A142">
        <v>50</v>
      </c>
      <c r="B142" t="s">
        <v>68</v>
      </c>
      <c r="C142">
        <v>2015</v>
      </c>
      <c r="F142" s="13">
        <v>3021</v>
      </c>
      <c r="G142" t="str">
        <f>VLOOKUP(F142,'Liste Formations'!$A$5:$B$182,2,FALSE)</f>
        <v>Poste 912</v>
      </c>
      <c r="H142">
        <v>151.66999999999999</v>
      </c>
    </row>
    <row r="143" spans="1:8" x14ac:dyDescent="0.25">
      <c r="A143">
        <v>50</v>
      </c>
      <c r="B143" t="s">
        <v>68</v>
      </c>
      <c r="C143">
        <v>2015</v>
      </c>
      <c r="F143" s="13">
        <v>3025</v>
      </c>
      <c r="G143" t="str">
        <f>VLOOKUP(F143,'Liste Formations'!$A$5:$B$182,2,FALSE)</f>
        <v>Poste 930</v>
      </c>
      <c r="H143">
        <v>151.66999999999999</v>
      </c>
    </row>
    <row r="144" spans="1:8" x14ac:dyDescent="0.25">
      <c r="A144">
        <v>50</v>
      </c>
      <c r="B144" t="s">
        <v>68</v>
      </c>
      <c r="C144">
        <v>2015</v>
      </c>
      <c r="F144" s="13">
        <v>3029</v>
      </c>
      <c r="G144" t="str">
        <f>VLOOKUP(F144,'Liste Formations'!$A$5:$B$182,2,FALSE)</f>
        <v>Poste 1003</v>
      </c>
      <c r="H144">
        <v>151.66999999999999</v>
      </c>
    </row>
    <row r="145" spans="1:8" x14ac:dyDescent="0.25">
      <c r="A145">
        <v>50</v>
      </c>
      <c r="B145" t="s">
        <v>68</v>
      </c>
      <c r="C145">
        <v>2015</v>
      </c>
      <c r="F145" s="13">
        <v>3030</v>
      </c>
      <c r="G145" t="str">
        <f>VLOOKUP(F145,'Liste Formations'!$A$5:$B$182,2,FALSE)</f>
        <v>Poste 1004</v>
      </c>
      <c r="H145">
        <v>151.66999999999999</v>
      </c>
    </row>
    <row r="146" spans="1:8" x14ac:dyDescent="0.25">
      <c r="A146">
        <v>50</v>
      </c>
      <c r="B146" t="s">
        <v>68</v>
      </c>
      <c r="C146">
        <v>2016</v>
      </c>
      <c r="F146" s="13">
        <v>1017</v>
      </c>
      <c r="G146" t="str">
        <f>VLOOKUP(F146,'Liste Formations'!$A$5:$B$182,2,FALSE)</f>
        <v>R. S.S.T. Recyclage Sauveteurs Secourites du Travail</v>
      </c>
      <c r="H146">
        <v>7</v>
      </c>
    </row>
    <row r="147" spans="1:8" x14ac:dyDescent="0.25">
      <c r="A147">
        <v>50</v>
      </c>
      <c r="B147" t="s">
        <v>68</v>
      </c>
      <c r="C147">
        <v>2017</v>
      </c>
      <c r="F147" s="13">
        <v>2007</v>
      </c>
      <c r="G147" t="str">
        <f>VLOOKUP(F147,'Liste Formations'!$A$5:$B$182,2,FALSE)</f>
        <v>ERP DIVALTO</v>
      </c>
      <c r="H147">
        <v>2</v>
      </c>
    </row>
    <row r="148" spans="1:8" x14ac:dyDescent="0.25">
      <c r="A148">
        <v>50</v>
      </c>
      <c r="B148" t="s">
        <v>68</v>
      </c>
      <c r="C148">
        <v>2017</v>
      </c>
      <c r="F148" s="13">
        <v>3007</v>
      </c>
      <c r="G148" t="str">
        <f>VLOOKUP(F148,'Liste Formations'!$A$5:$B$182,2,FALSE)</f>
        <v>Poste 516</v>
      </c>
      <c r="H148">
        <v>151.66999999999999</v>
      </c>
    </row>
    <row r="149" spans="1:8" x14ac:dyDescent="0.25">
      <c r="A149">
        <v>50</v>
      </c>
      <c r="B149" t="s">
        <v>68</v>
      </c>
      <c r="C149">
        <v>2017</v>
      </c>
      <c r="F149" s="13">
        <v>3021</v>
      </c>
      <c r="G149" t="str">
        <f>VLOOKUP(F149,'Liste Formations'!$A$5:$B$182,2,FALSE)</f>
        <v>Poste 912</v>
      </c>
      <c r="H149">
        <v>151.66999999999999</v>
      </c>
    </row>
    <row r="150" spans="1:8" x14ac:dyDescent="0.25">
      <c r="A150">
        <v>50</v>
      </c>
      <c r="B150" t="s">
        <v>68</v>
      </c>
      <c r="C150">
        <v>2017</v>
      </c>
      <c r="F150" s="13">
        <v>3025</v>
      </c>
      <c r="G150" t="str">
        <f>VLOOKUP(F150,'Liste Formations'!$A$5:$B$182,2,FALSE)</f>
        <v>Poste 930</v>
      </c>
      <c r="H150">
        <v>151.66999999999999</v>
      </c>
    </row>
    <row r="151" spans="1:8" x14ac:dyDescent="0.25">
      <c r="A151">
        <v>50</v>
      </c>
      <c r="B151" t="s">
        <v>68</v>
      </c>
      <c r="C151">
        <v>2018</v>
      </c>
      <c r="F151" s="13">
        <v>1020</v>
      </c>
      <c r="G151" t="str">
        <f>VLOOKUP(F151,'Liste Formations'!$A$5:$B$182,2,FALSE)</f>
        <v>Prévention TMS - Gestes Postures et Nutrition</v>
      </c>
      <c r="H151">
        <v>3.5</v>
      </c>
    </row>
    <row r="152" spans="1:8" x14ac:dyDescent="0.25">
      <c r="A152">
        <v>50</v>
      </c>
      <c r="B152" t="s">
        <v>68</v>
      </c>
      <c r="C152">
        <v>2018</v>
      </c>
      <c r="F152" s="13">
        <v>1017</v>
      </c>
      <c r="G152" t="str">
        <f>VLOOKUP(F152,'Liste Formations'!$A$5:$B$182,2,FALSE)</f>
        <v>R. S.S.T. Recyclage Sauveteurs Secourites du Travail</v>
      </c>
      <c r="H152">
        <v>7</v>
      </c>
    </row>
    <row r="153" spans="1:8" x14ac:dyDescent="0.25">
      <c r="A153">
        <v>50</v>
      </c>
      <c r="B153" t="s">
        <v>68</v>
      </c>
      <c r="C153">
        <v>2018</v>
      </c>
      <c r="F153" s="13">
        <v>1010</v>
      </c>
      <c r="G153" t="s">
        <v>222</v>
      </c>
      <c r="H153">
        <v>3</v>
      </c>
    </row>
    <row r="154" spans="1:8" x14ac:dyDescent="0.25">
      <c r="A154">
        <v>50</v>
      </c>
      <c r="B154" t="s">
        <v>68</v>
      </c>
      <c r="C154">
        <v>2018</v>
      </c>
      <c r="F154" s="13">
        <v>1009</v>
      </c>
      <c r="G154" t="str">
        <f>VLOOKUP(F154,'Liste Formations'!$A$5:$B$182,2,FALSE)</f>
        <v>Défibrillateur</v>
      </c>
      <c r="H154">
        <v>3</v>
      </c>
    </row>
    <row r="155" spans="1:8" x14ac:dyDescent="0.25">
      <c r="A155">
        <v>50</v>
      </c>
      <c r="B155" t="s">
        <v>68</v>
      </c>
      <c r="C155">
        <v>2018</v>
      </c>
      <c r="F155" s="13">
        <v>1004</v>
      </c>
      <c r="G155" t="str">
        <f>VLOOKUP(F155,'Liste Formations'!$A$5:$B$182,2,FALSE)</f>
        <v>Conduite Chariots Cat.3</v>
      </c>
      <c r="H155">
        <v>7</v>
      </c>
    </row>
    <row r="156" spans="1:8" x14ac:dyDescent="0.25">
      <c r="A156">
        <v>50</v>
      </c>
      <c r="B156" t="s">
        <v>68</v>
      </c>
      <c r="C156">
        <v>2019</v>
      </c>
      <c r="F156" s="13">
        <v>3007</v>
      </c>
      <c r="G156" t="str">
        <f>VLOOKUP(F156,'Liste Formations'!$A$5:$B$182,2,FALSE)</f>
        <v>Poste 516</v>
      </c>
      <c r="H156">
        <v>151.66999999999999</v>
      </c>
    </row>
    <row r="157" spans="1:8" x14ac:dyDescent="0.25">
      <c r="A157">
        <v>50</v>
      </c>
      <c r="B157" t="s">
        <v>68</v>
      </c>
      <c r="C157">
        <v>2019</v>
      </c>
      <c r="F157" s="13">
        <v>3025</v>
      </c>
      <c r="G157" t="str">
        <f>VLOOKUP(F157,'Liste Formations'!$A$5:$B$182,2,FALSE)</f>
        <v>Poste 930</v>
      </c>
      <c r="H157">
        <v>151.66999999999999</v>
      </c>
    </row>
    <row r="158" spans="1:8" x14ac:dyDescent="0.25">
      <c r="A158">
        <v>50</v>
      </c>
      <c r="B158" t="s">
        <v>68</v>
      </c>
      <c r="C158">
        <v>2020</v>
      </c>
      <c r="F158" s="13">
        <v>3021</v>
      </c>
      <c r="G158" t="str">
        <f>VLOOKUP(F158,'Liste Formations'!$A$5:$B$182,2,FALSE)</f>
        <v>Poste 912</v>
      </c>
      <c r="H158">
        <v>151.66999999999999</v>
      </c>
    </row>
    <row r="159" spans="1:8" x14ac:dyDescent="0.25">
      <c r="A159">
        <v>50</v>
      </c>
      <c r="B159" t="s">
        <v>68</v>
      </c>
      <c r="C159">
        <v>2021</v>
      </c>
      <c r="F159" s="13">
        <v>3010</v>
      </c>
      <c r="G159" t="str">
        <f>VLOOKUP(F159,'Liste Formations'!$A$5:$B$182,2,FALSE)</f>
        <v>Poste 830</v>
      </c>
      <c r="H159">
        <v>151.66999999999999</v>
      </c>
    </row>
    <row r="160" spans="1:8" x14ac:dyDescent="0.25">
      <c r="A160">
        <v>50</v>
      </c>
      <c r="B160" t="s">
        <v>68</v>
      </c>
      <c r="C160">
        <v>2021</v>
      </c>
      <c r="F160" s="13">
        <v>3031</v>
      </c>
      <c r="G160" t="str">
        <f>VLOOKUP(F160,'Liste Formations'!$A$5:$B$182,2,FALSE)</f>
        <v>Poste 1007</v>
      </c>
      <c r="H160">
        <v>151.66999999999999</v>
      </c>
    </row>
    <row r="161" spans="1:9" x14ac:dyDescent="0.25">
      <c r="A161">
        <v>50</v>
      </c>
      <c r="B161" t="s">
        <v>68</v>
      </c>
      <c r="C161">
        <v>2021</v>
      </c>
      <c r="F161" s="13">
        <v>1017</v>
      </c>
      <c r="G161" t="str">
        <f>VLOOKUP(F161,'Liste Formations'!$A$5:$B$182,2,FALSE)</f>
        <v>R. S.S.T. Recyclage Sauveteurs Secourites du Travail</v>
      </c>
      <c r="H161">
        <v>7</v>
      </c>
    </row>
    <row r="162" spans="1:9" x14ac:dyDescent="0.25">
      <c r="A162">
        <v>50</v>
      </c>
      <c r="B162" t="s">
        <v>68</v>
      </c>
      <c r="C162">
        <v>2023</v>
      </c>
      <c r="F162" s="13">
        <v>1004</v>
      </c>
      <c r="G162" t="str">
        <f>VLOOKUP(F162,'Liste Formations'!$A$5:$B$182,2,FALSE)</f>
        <v>Conduite Chariots Cat.3</v>
      </c>
      <c r="H162">
        <v>7</v>
      </c>
    </row>
    <row r="163" spans="1:9" x14ac:dyDescent="0.25">
      <c r="A163">
        <v>50</v>
      </c>
      <c r="B163" t="s">
        <v>68</v>
      </c>
      <c r="C163">
        <v>2023</v>
      </c>
      <c r="F163" s="13">
        <v>1014</v>
      </c>
      <c r="G163" t="str">
        <f>VLOOKUP(F163,'Liste Formations'!$A$5:$B$182,2,FALSE)</f>
        <v>Membres CSE</v>
      </c>
      <c r="H163">
        <v>35</v>
      </c>
    </row>
    <row r="164" spans="1:9" x14ac:dyDescent="0.25">
      <c r="A164">
        <v>50</v>
      </c>
      <c r="B164" t="s">
        <v>68</v>
      </c>
      <c r="C164">
        <v>2023</v>
      </c>
      <c r="F164" s="13">
        <v>1017</v>
      </c>
      <c r="G164" t="str">
        <f>VLOOKUP(F164,'Liste Formations'!$A$5:$B$182,2,FALSE)</f>
        <v>R. S.S.T. Recyclage Sauveteurs Secourites du Travail</v>
      </c>
      <c r="H164">
        <v>7</v>
      </c>
    </row>
    <row r="165" spans="1:9" x14ac:dyDescent="0.25">
      <c r="A165">
        <v>50</v>
      </c>
      <c r="B165" t="s">
        <v>68</v>
      </c>
      <c r="C165">
        <v>2023</v>
      </c>
      <c r="F165" s="13">
        <v>1030</v>
      </c>
      <c r="G165" t="str">
        <f>VLOOKUP(F165,'Liste Formations'!$A$5:$B$182,2,FALSE)</f>
        <v>Utilisation PTI</v>
      </c>
      <c r="H165">
        <v>0.5</v>
      </c>
    </row>
    <row r="166" spans="1:9" x14ac:dyDescent="0.25">
      <c r="A166">
        <v>50</v>
      </c>
      <c r="B166" t="s">
        <v>68</v>
      </c>
      <c r="C166">
        <v>2024</v>
      </c>
      <c r="F166" s="13">
        <v>1010</v>
      </c>
      <c r="G166" t="s">
        <v>222</v>
      </c>
      <c r="H166">
        <v>2</v>
      </c>
    </row>
    <row r="167" spans="1:9" x14ac:dyDescent="0.25">
      <c r="A167">
        <v>50</v>
      </c>
      <c r="B167" t="s">
        <v>68</v>
      </c>
      <c r="C167">
        <v>2024</v>
      </c>
      <c r="F167" s="13">
        <v>1009</v>
      </c>
      <c r="G167" t="str">
        <f>VLOOKUP(F167,'Liste Formations'!$A$5:$B$182,2,FALSE)</f>
        <v>Défibrillateur</v>
      </c>
      <c r="H167">
        <v>2</v>
      </c>
    </row>
    <row r="168" spans="1:9" x14ac:dyDescent="0.25">
      <c r="A168">
        <v>50</v>
      </c>
      <c r="B168" t="s">
        <v>68</v>
      </c>
      <c r="C168">
        <v>2025</v>
      </c>
      <c r="D168" s="18">
        <v>45730</v>
      </c>
      <c r="E168" s="18">
        <v>45730</v>
      </c>
      <c r="F168" s="13">
        <v>1017</v>
      </c>
      <c r="G168" t="str">
        <f>VLOOKUP(F168,'Liste Formations'!$A$5:$B$182,2,FALSE)</f>
        <v>R. S.S.T. Recyclage Sauveteurs Secourites du Travail</v>
      </c>
      <c r="H168" s="75">
        <v>7</v>
      </c>
      <c r="I168" t="s">
        <v>280</v>
      </c>
    </row>
    <row r="169" spans="1:9" x14ac:dyDescent="0.25">
      <c r="A169">
        <v>50</v>
      </c>
      <c r="B169" t="s">
        <v>68</v>
      </c>
      <c r="C169">
        <v>2025</v>
      </c>
      <c r="D169" s="18">
        <v>45814</v>
      </c>
      <c r="E169" s="18">
        <v>45814</v>
      </c>
      <c r="F169" s="13">
        <v>2031</v>
      </c>
      <c r="G169" s="15" t="s">
        <v>180</v>
      </c>
      <c r="H169" s="75">
        <v>2</v>
      </c>
      <c r="I169" t="s">
        <v>304</v>
      </c>
    </row>
    <row r="170" spans="1:9" x14ac:dyDescent="0.25">
      <c r="D170" s="18"/>
      <c r="E170" s="18"/>
      <c r="G170" s="15"/>
    </row>
    <row r="171" spans="1:9" x14ac:dyDescent="0.25">
      <c r="D171" s="18"/>
      <c r="E171" s="18"/>
      <c r="G171" s="15"/>
    </row>
    <row r="172" spans="1:9" x14ac:dyDescent="0.25">
      <c r="D172" s="18"/>
      <c r="E172" s="18"/>
      <c r="G172" s="15"/>
    </row>
    <row r="173" spans="1:9" x14ac:dyDescent="0.25">
      <c r="A173">
        <v>145</v>
      </c>
      <c r="B173" t="s">
        <v>69</v>
      </c>
      <c r="C173">
        <v>2010</v>
      </c>
      <c r="F173" s="13">
        <v>3002</v>
      </c>
      <c r="G173" t="str">
        <f>VLOOKUP(F173,'Liste Formations'!$A$5:$B$182,2,FALSE)</f>
        <v>Poste 507</v>
      </c>
      <c r="H173">
        <v>151.66999999999999</v>
      </c>
    </row>
    <row r="174" spans="1:9" x14ac:dyDescent="0.25">
      <c r="A174">
        <v>145</v>
      </c>
      <c r="B174" t="s">
        <v>69</v>
      </c>
      <c r="C174">
        <v>2010</v>
      </c>
      <c r="F174" s="13">
        <v>3003</v>
      </c>
      <c r="G174" t="str">
        <f>VLOOKUP(F174,'Liste Formations'!$A$5:$B$182,2,FALSE)</f>
        <v>Poste 509</v>
      </c>
      <c r="H174">
        <v>151.66999999999999</v>
      </c>
    </row>
    <row r="175" spans="1:9" x14ac:dyDescent="0.25">
      <c r="A175">
        <v>145</v>
      </c>
      <c r="B175" t="s">
        <v>69</v>
      </c>
      <c r="C175">
        <v>2010</v>
      </c>
      <c r="F175" s="13">
        <v>3004</v>
      </c>
      <c r="G175" t="str">
        <f>VLOOKUP(F175,'Liste Formations'!$A$5:$B$182,2,FALSE)</f>
        <v>Poste 510</v>
      </c>
      <c r="H175">
        <v>151.66999999999999</v>
      </c>
    </row>
    <row r="176" spans="1:9" x14ac:dyDescent="0.25">
      <c r="A176">
        <v>145</v>
      </c>
      <c r="B176" t="s">
        <v>69</v>
      </c>
      <c r="C176">
        <v>2010</v>
      </c>
      <c r="F176" s="13">
        <v>3005</v>
      </c>
      <c r="G176" t="str">
        <f>VLOOKUP(F176,'Liste Formations'!$A$5:$B$182,2,FALSE)</f>
        <v>Poste 514</v>
      </c>
      <c r="H176">
        <v>151.66999999999999</v>
      </c>
    </row>
    <row r="177" spans="1:8" x14ac:dyDescent="0.25">
      <c r="A177">
        <v>145</v>
      </c>
      <c r="B177" t="s">
        <v>69</v>
      </c>
      <c r="C177">
        <v>2010</v>
      </c>
      <c r="F177" s="13">
        <v>3039</v>
      </c>
      <c r="G177" t="str">
        <f>VLOOKUP(F177,'Liste Formations'!$A$5:$B$182,2,FALSE)</f>
        <v>Poste 1402</v>
      </c>
      <c r="H177">
        <v>151.66999999999999</v>
      </c>
    </row>
    <row r="178" spans="1:8" x14ac:dyDescent="0.25">
      <c r="A178">
        <v>145</v>
      </c>
      <c r="B178" t="s">
        <v>69</v>
      </c>
      <c r="C178">
        <v>2010</v>
      </c>
      <c r="F178" s="13">
        <v>3040</v>
      </c>
      <c r="G178" t="str">
        <f>VLOOKUP(F178,'Liste Formations'!$A$5:$B$182,2,FALSE)</f>
        <v>Poste 1404</v>
      </c>
      <c r="H178">
        <v>151.66999999999999</v>
      </c>
    </row>
    <row r="179" spans="1:8" x14ac:dyDescent="0.25">
      <c r="A179">
        <v>145</v>
      </c>
      <c r="B179" t="s">
        <v>69</v>
      </c>
      <c r="C179">
        <v>2010</v>
      </c>
      <c r="F179" s="13">
        <v>3041</v>
      </c>
      <c r="G179" t="str">
        <f>VLOOKUP(F179,'Liste Formations'!$A$5:$B$182,2,FALSE)</f>
        <v>Poste 1405</v>
      </c>
      <c r="H179">
        <v>151.66999999999999</v>
      </c>
    </row>
    <row r="180" spans="1:8" x14ac:dyDescent="0.25">
      <c r="A180">
        <v>145</v>
      </c>
      <c r="B180" t="s">
        <v>69</v>
      </c>
      <c r="C180">
        <v>2010</v>
      </c>
      <c r="F180" s="13">
        <v>3042</v>
      </c>
      <c r="G180" t="str">
        <f>VLOOKUP(F180,'Liste Formations'!$A$5:$B$182,2,FALSE)</f>
        <v>Poste 1406</v>
      </c>
      <c r="H180">
        <v>151.66999999999999</v>
      </c>
    </row>
    <row r="181" spans="1:8" x14ac:dyDescent="0.25">
      <c r="A181">
        <v>145</v>
      </c>
      <c r="B181" t="s">
        <v>69</v>
      </c>
      <c r="C181">
        <v>2011</v>
      </c>
      <c r="F181" s="13">
        <v>3001</v>
      </c>
      <c r="G181" t="str">
        <f>VLOOKUP(F181,'Liste Formations'!$A$5:$B$182,2,FALSE)</f>
        <v>Poste 506</v>
      </c>
      <c r="H181">
        <v>151.66999999999999</v>
      </c>
    </row>
    <row r="182" spans="1:8" x14ac:dyDescent="0.25">
      <c r="A182">
        <v>145</v>
      </c>
      <c r="B182" t="s">
        <v>69</v>
      </c>
      <c r="C182">
        <v>2011</v>
      </c>
      <c r="F182" s="13">
        <v>2001</v>
      </c>
      <c r="G182" t="str">
        <f>VLOOKUP(F182,'Liste Formations'!$A$5:$B$182,2,FALSE)</f>
        <v>IFOCA le mélangeage</v>
      </c>
      <c r="H182">
        <v>42</v>
      </c>
    </row>
    <row r="183" spans="1:8" x14ac:dyDescent="0.25">
      <c r="A183">
        <v>145</v>
      </c>
      <c r="B183" t="s">
        <v>69</v>
      </c>
      <c r="C183">
        <v>2012</v>
      </c>
      <c r="F183" s="13">
        <v>1010</v>
      </c>
      <c r="G183" t="str">
        <f>VLOOKUP(F183,'Liste Formations'!$A$5:$B$182,2,FALSE)</f>
        <v>Incendie</v>
      </c>
      <c r="H183">
        <v>2.5</v>
      </c>
    </row>
    <row r="184" spans="1:8" x14ac:dyDescent="0.25">
      <c r="A184">
        <v>145</v>
      </c>
      <c r="B184" t="s">
        <v>69</v>
      </c>
      <c r="C184">
        <v>2012</v>
      </c>
      <c r="F184" s="13">
        <v>3001</v>
      </c>
      <c r="G184" t="str">
        <f>VLOOKUP(F184,'Liste Formations'!$A$5:$B$182,2,FALSE)</f>
        <v>Poste 506</v>
      </c>
      <c r="H184">
        <v>151.66999999999999</v>
      </c>
    </row>
    <row r="185" spans="1:8" x14ac:dyDescent="0.25">
      <c r="A185">
        <v>145</v>
      </c>
      <c r="B185" t="s">
        <v>69</v>
      </c>
      <c r="C185">
        <v>2012</v>
      </c>
      <c r="F185" s="13">
        <v>3002</v>
      </c>
      <c r="G185" t="str">
        <f>VLOOKUP(F185,'Liste Formations'!$A$5:$B$182,2,FALSE)</f>
        <v>Poste 507</v>
      </c>
      <c r="H185">
        <v>151.66999999999999</v>
      </c>
    </row>
    <row r="186" spans="1:8" x14ac:dyDescent="0.25">
      <c r="A186">
        <v>145</v>
      </c>
      <c r="B186" t="s">
        <v>69</v>
      </c>
      <c r="C186">
        <v>2012</v>
      </c>
      <c r="F186" s="13">
        <v>3003</v>
      </c>
      <c r="G186" t="str">
        <f>VLOOKUP(F186,'Liste Formations'!$A$5:$B$182,2,FALSE)</f>
        <v>Poste 509</v>
      </c>
      <c r="H186">
        <v>151.66999999999999</v>
      </c>
    </row>
    <row r="187" spans="1:8" x14ac:dyDescent="0.25">
      <c r="A187">
        <v>145</v>
      </c>
      <c r="B187" t="s">
        <v>69</v>
      </c>
      <c r="C187">
        <v>2012</v>
      </c>
      <c r="F187" s="13">
        <v>3004</v>
      </c>
      <c r="G187" t="str">
        <f>VLOOKUP(F187,'Liste Formations'!$A$5:$B$182,2,FALSE)</f>
        <v>Poste 510</v>
      </c>
      <c r="H187">
        <v>151.66999999999999</v>
      </c>
    </row>
    <row r="188" spans="1:8" x14ac:dyDescent="0.25">
      <c r="A188">
        <v>145</v>
      </c>
      <c r="B188" t="s">
        <v>69</v>
      </c>
      <c r="C188">
        <v>2012</v>
      </c>
      <c r="F188" s="13">
        <v>3005</v>
      </c>
      <c r="G188" t="str">
        <f>VLOOKUP(F188,'Liste Formations'!$A$5:$B$182,2,FALSE)</f>
        <v>Poste 514</v>
      </c>
      <c r="H188">
        <v>151.66999999999999</v>
      </c>
    </row>
    <row r="189" spans="1:8" x14ac:dyDescent="0.25">
      <c r="A189">
        <v>145</v>
      </c>
      <c r="B189" t="s">
        <v>69</v>
      </c>
      <c r="C189">
        <v>2012</v>
      </c>
      <c r="F189" s="13">
        <v>3006</v>
      </c>
      <c r="G189" t="str">
        <f>VLOOKUP(F189,'Liste Formations'!$A$5:$B$182,2,FALSE)</f>
        <v>Poste 515</v>
      </c>
      <c r="H189">
        <v>151.66999999999999</v>
      </c>
    </row>
    <row r="190" spans="1:8" x14ac:dyDescent="0.25">
      <c r="A190">
        <v>145</v>
      </c>
      <c r="B190" t="s">
        <v>69</v>
      </c>
      <c r="C190">
        <v>2012</v>
      </c>
      <c r="F190" s="13">
        <v>3038</v>
      </c>
      <c r="G190" t="str">
        <f>VLOOKUP(F190,'Liste Formations'!$A$5:$B$182,2,FALSE)</f>
        <v>Poste 1401</v>
      </c>
      <c r="H190">
        <v>151.66999999999999</v>
      </c>
    </row>
    <row r="191" spans="1:8" x14ac:dyDescent="0.25">
      <c r="A191">
        <v>145</v>
      </c>
      <c r="B191" t="s">
        <v>69</v>
      </c>
      <c r="C191">
        <v>2012</v>
      </c>
      <c r="F191" s="13">
        <v>3039</v>
      </c>
      <c r="G191" t="str">
        <f>VLOOKUP(F191,'Liste Formations'!$A$5:$B$182,2,FALSE)</f>
        <v>Poste 1402</v>
      </c>
      <c r="H191">
        <v>151.66999999999999</v>
      </c>
    </row>
    <row r="192" spans="1:8" x14ac:dyDescent="0.25">
      <c r="A192">
        <v>145</v>
      </c>
      <c r="B192" t="s">
        <v>69</v>
      </c>
      <c r="C192">
        <v>2012</v>
      </c>
      <c r="F192" s="13">
        <v>3040</v>
      </c>
      <c r="G192" t="str">
        <f>VLOOKUP(F192,'Liste Formations'!$A$5:$B$182,2,FALSE)</f>
        <v>Poste 1404</v>
      </c>
      <c r="H192">
        <v>151.66999999999999</v>
      </c>
    </row>
    <row r="193" spans="1:8" x14ac:dyDescent="0.25">
      <c r="A193">
        <v>145</v>
      </c>
      <c r="B193" t="s">
        <v>69</v>
      </c>
      <c r="C193">
        <v>2012</v>
      </c>
      <c r="F193" s="13">
        <v>3041</v>
      </c>
      <c r="G193" t="str">
        <f>VLOOKUP(F193,'Liste Formations'!$A$5:$B$182,2,FALSE)</f>
        <v>Poste 1405</v>
      </c>
      <c r="H193">
        <v>151.66999999999999</v>
      </c>
    </row>
    <row r="194" spans="1:8" x14ac:dyDescent="0.25">
      <c r="A194">
        <v>145</v>
      </c>
      <c r="B194" t="s">
        <v>69</v>
      </c>
      <c r="C194">
        <v>2012</v>
      </c>
      <c r="F194" s="13">
        <v>3042</v>
      </c>
      <c r="G194" t="str">
        <f>VLOOKUP(F194,'Liste Formations'!$A$5:$B$182,2,FALSE)</f>
        <v>Poste 1406</v>
      </c>
      <c r="H194">
        <v>151.66999999999999</v>
      </c>
    </row>
    <row r="195" spans="1:8" x14ac:dyDescent="0.25">
      <c r="A195">
        <v>145</v>
      </c>
      <c r="B195" t="s">
        <v>69</v>
      </c>
      <c r="C195">
        <v>2014</v>
      </c>
      <c r="F195" s="13">
        <v>1011</v>
      </c>
      <c r="G195" t="str">
        <f>VLOOKUP(F195,'Liste Formations'!$A$5:$B$182,2,FALSE)</f>
        <v>UTI.COM - SSI / CHUBB</v>
      </c>
      <c r="H195">
        <v>4</v>
      </c>
    </row>
    <row r="196" spans="1:8" x14ac:dyDescent="0.25">
      <c r="A196">
        <v>145</v>
      </c>
      <c r="B196" t="s">
        <v>69</v>
      </c>
      <c r="C196">
        <v>2016</v>
      </c>
      <c r="F196" s="13">
        <v>2007</v>
      </c>
      <c r="G196" t="str">
        <f>VLOOKUP(F196,'Liste Formations'!$A$5:$B$182,2,FALSE)</f>
        <v>ERP DIVALTO</v>
      </c>
      <c r="H196">
        <v>42</v>
      </c>
    </row>
    <row r="197" spans="1:8" x14ac:dyDescent="0.25">
      <c r="A197">
        <v>145</v>
      </c>
      <c r="B197" t="s">
        <v>69</v>
      </c>
      <c r="C197">
        <v>2016</v>
      </c>
      <c r="F197" s="13">
        <v>2029</v>
      </c>
      <c r="G197" t="str">
        <f>VLOOKUP(F197,'Liste Formations'!$A$5:$B$182,2,FALSE)</f>
        <v>CORE
TOOLS</v>
      </c>
      <c r="H197">
        <v>3.5</v>
      </c>
    </row>
    <row r="198" spans="1:8" x14ac:dyDescent="0.25">
      <c r="A198">
        <v>145</v>
      </c>
      <c r="B198" t="s">
        <v>69</v>
      </c>
      <c r="C198">
        <v>2016</v>
      </c>
      <c r="F198" s="13">
        <v>2030</v>
      </c>
      <c r="G198" t="str">
        <f>VLOOKUP(F198,'Liste Formations'!$A$5:$B$182,2,FALSE)</f>
        <v>AMDEC</v>
      </c>
      <c r="H198">
        <v>3.5</v>
      </c>
    </row>
    <row r="199" spans="1:8" x14ac:dyDescent="0.25">
      <c r="A199">
        <v>145</v>
      </c>
      <c r="B199" t="s">
        <v>69</v>
      </c>
      <c r="C199">
        <v>2017</v>
      </c>
      <c r="F199" s="13">
        <v>1009</v>
      </c>
      <c r="G199" t="str">
        <f>VLOOKUP(F199,'Liste Formations'!$A$5:$B$182,2,FALSE)</f>
        <v>Défibrillateur</v>
      </c>
      <c r="H199">
        <v>2</v>
      </c>
    </row>
    <row r="200" spans="1:8" x14ac:dyDescent="0.25">
      <c r="A200">
        <v>145</v>
      </c>
      <c r="B200" t="s">
        <v>69</v>
      </c>
      <c r="C200">
        <v>2017</v>
      </c>
      <c r="F200" s="13">
        <v>2006</v>
      </c>
      <c r="G200" t="str">
        <f>VLOOKUP(F200,'Liste Formations'!$A$5:$B$182,2,FALSE)</f>
        <v>Exposé TPM Maintenance Productive Totale</v>
      </c>
      <c r="H200">
        <v>25</v>
      </c>
    </row>
    <row r="201" spans="1:8" x14ac:dyDescent="0.25">
      <c r="A201">
        <v>145</v>
      </c>
      <c r="B201" t="s">
        <v>69</v>
      </c>
      <c r="C201">
        <v>2018</v>
      </c>
      <c r="F201" s="13">
        <v>2006</v>
      </c>
      <c r="G201" t="str">
        <f>VLOOKUP(F201,'Liste Formations'!$A$5:$B$182,2,FALSE)</f>
        <v>Exposé TPM Maintenance Productive Totale</v>
      </c>
      <c r="H201">
        <v>7</v>
      </c>
    </row>
    <row r="202" spans="1:8" x14ac:dyDescent="0.25">
      <c r="A202">
        <v>145</v>
      </c>
      <c r="B202" t="s">
        <v>69</v>
      </c>
      <c r="C202">
        <v>2019</v>
      </c>
      <c r="F202" s="13">
        <v>1004</v>
      </c>
      <c r="G202" t="str">
        <f>VLOOKUP(F202,'Liste Formations'!$A$5:$B$182,2,FALSE)</f>
        <v>Conduite Chariots Cat.3</v>
      </c>
      <c r="H202">
        <v>7</v>
      </c>
    </row>
    <row r="203" spans="1:8" x14ac:dyDescent="0.25">
      <c r="A203">
        <v>145</v>
      </c>
      <c r="B203" t="s">
        <v>69</v>
      </c>
      <c r="C203">
        <v>2020</v>
      </c>
      <c r="F203" s="13">
        <v>2017</v>
      </c>
      <c r="G203" t="str">
        <f>VLOOKUP(F203,'Liste Formations'!$A$5:$B$182,2,FALSE)</f>
        <v>Machine BATCH OFF/Lescuyer + Machines Calandrage</v>
      </c>
      <c r="H203">
        <v>20</v>
      </c>
    </row>
    <row r="204" spans="1:8" x14ac:dyDescent="0.25">
      <c r="A204">
        <v>145</v>
      </c>
      <c r="B204" t="s">
        <v>69</v>
      </c>
      <c r="C204">
        <v>2021</v>
      </c>
      <c r="F204" s="13">
        <v>2010</v>
      </c>
      <c r="G204" t="str">
        <f>VLOOKUP(F204,'Liste Formations'!$A$5:$B$182,2,FALSE)</f>
        <v>Manager leader</v>
      </c>
      <c r="H204">
        <v>70</v>
      </c>
    </row>
    <row r="205" spans="1:8" x14ac:dyDescent="0.25">
      <c r="A205">
        <v>145</v>
      </c>
      <c r="B205" t="s">
        <v>69</v>
      </c>
      <c r="C205">
        <v>2023</v>
      </c>
      <c r="F205" s="13">
        <v>1010</v>
      </c>
      <c r="G205" t="s">
        <v>222</v>
      </c>
      <c r="H205">
        <v>2</v>
      </c>
    </row>
    <row r="206" spans="1:8" x14ac:dyDescent="0.25">
      <c r="A206">
        <v>145</v>
      </c>
      <c r="B206" t="s">
        <v>69</v>
      </c>
      <c r="C206">
        <v>2023</v>
      </c>
      <c r="F206" s="13">
        <v>1009</v>
      </c>
      <c r="G206" t="str">
        <f>VLOOKUP(F206,'Liste Formations'!$A$5:$B$182,2,FALSE)</f>
        <v>Défibrillateur</v>
      </c>
      <c r="H206">
        <v>2</v>
      </c>
    </row>
    <row r="207" spans="1:8" x14ac:dyDescent="0.25">
      <c r="A207">
        <v>145</v>
      </c>
      <c r="B207" t="s">
        <v>69</v>
      </c>
      <c r="C207">
        <v>2023</v>
      </c>
      <c r="F207" s="13">
        <v>1012</v>
      </c>
      <c r="G207" t="str">
        <f>VLOOKUP(F207,'Liste Formations'!$A$5:$B$182,2,FALSE)</f>
        <v>ATEX Niveau 0 - Sensibilisation</v>
      </c>
      <c r="H207">
        <v>3.5</v>
      </c>
    </row>
    <row r="208" spans="1:8" x14ac:dyDescent="0.25">
      <c r="A208">
        <v>145</v>
      </c>
      <c r="B208" t="s">
        <v>69</v>
      </c>
      <c r="C208">
        <v>2024</v>
      </c>
      <c r="F208" s="13">
        <v>1009</v>
      </c>
      <c r="G208" t="s">
        <v>221</v>
      </c>
      <c r="H208">
        <v>2</v>
      </c>
    </row>
    <row r="209" spans="1:9" x14ac:dyDescent="0.25">
      <c r="A209">
        <v>145</v>
      </c>
      <c r="B209" t="s">
        <v>69</v>
      </c>
      <c r="C209">
        <v>2024</v>
      </c>
      <c r="F209" s="13">
        <v>1010</v>
      </c>
      <c r="G209" t="s">
        <v>222</v>
      </c>
      <c r="H209">
        <v>2</v>
      </c>
    </row>
    <row r="210" spans="1:9" x14ac:dyDescent="0.25">
      <c r="A210">
        <v>145</v>
      </c>
      <c r="B210" t="s">
        <v>69</v>
      </c>
      <c r="C210">
        <v>2024</v>
      </c>
      <c r="F210" s="13">
        <v>1012</v>
      </c>
      <c r="G210" t="s">
        <v>242</v>
      </c>
      <c r="H210">
        <v>3.5</v>
      </c>
    </row>
    <row r="211" spans="1:9" x14ac:dyDescent="0.25">
      <c r="A211">
        <v>145</v>
      </c>
      <c r="B211" t="s">
        <v>69</v>
      </c>
      <c r="C211">
        <v>2024</v>
      </c>
      <c r="F211" s="13">
        <v>1032</v>
      </c>
      <c r="G211" t="str">
        <f>VLOOKUP(F211,'Liste Formations'!$A$5:$B$182,2,FALSE)</f>
        <v>Sensibilisation RPS Risques Psychosociaux</v>
      </c>
      <c r="H211">
        <v>2</v>
      </c>
    </row>
    <row r="214" spans="1:9" x14ac:dyDescent="0.25">
      <c r="A214">
        <v>83</v>
      </c>
      <c r="B214" t="s">
        <v>70</v>
      </c>
      <c r="C214">
        <v>2004</v>
      </c>
      <c r="F214" s="13">
        <v>2001</v>
      </c>
      <c r="G214" t="str">
        <f>VLOOKUP(F214,'Liste Formations'!$A$5:$B$182,2,FALSE)</f>
        <v>IFOCA le mélangeage</v>
      </c>
      <c r="H214">
        <v>28</v>
      </c>
      <c r="I214" t="s">
        <v>262</v>
      </c>
    </row>
    <row r="215" spans="1:9" x14ac:dyDescent="0.25">
      <c r="A215">
        <v>83</v>
      </c>
      <c r="B215" t="s">
        <v>70</v>
      </c>
      <c r="C215">
        <v>2004</v>
      </c>
      <c r="F215" s="13">
        <v>2041</v>
      </c>
      <c r="G215" t="str">
        <f>VLOOKUP(F215,'Liste Formations'!$A$5:$B$182,2,FALSE)</f>
        <v>Excel</v>
      </c>
      <c r="H215">
        <v>14</v>
      </c>
      <c r="I215" t="s">
        <v>264</v>
      </c>
    </row>
    <row r="216" spans="1:9" x14ac:dyDescent="0.25">
      <c r="A216">
        <v>83</v>
      </c>
      <c r="B216" t="s">
        <v>70</v>
      </c>
      <c r="C216">
        <v>2010</v>
      </c>
      <c r="F216" s="13">
        <v>2013</v>
      </c>
      <c r="G216" t="str">
        <f>VLOOKUP(F216,'Liste Formations'!$A$5:$B$182,2,FALSE)</f>
        <v>Auditeur interne ISO 9001/IATF</v>
      </c>
      <c r="H216">
        <v>3.5</v>
      </c>
      <c r="I216" t="s">
        <v>263</v>
      </c>
    </row>
    <row r="217" spans="1:9" x14ac:dyDescent="0.25">
      <c r="A217">
        <v>83</v>
      </c>
      <c r="B217" t="s">
        <v>70</v>
      </c>
      <c r="C217">
        <v>2010</v>
      </c>
      <c r="F217" s="13">
        <v>2019</v>
      </c>
      <c r="G217" t="str">
        <f>VLOOKUP(F217,'Liste Formations'!$A$5:$B$182,2,FALSE)</f>
        <v>Mélangeage
Mélangeur en interne</v>
      </c>
      <c r="H217">
        <v>42</v>
      </c>
    </row>
    <row r="218" spans="1:9" x14ac:dyDescent="0.25">
      <c r="A218">
        <v>83</v>
      </c>
      <c r="B218" t="s">
        <v>70</v>
      </c>
      <c r="C218">
        <v>2013</v>
      </c>
      <c r="F218" s="13">
        <v>1016</v>
      </c>
      <c r="G218" t="str">
        <f>VLOOKUP(F218,'Liste Formations'!$A$5:$B$182,2,FALSE)</f>
        <v>S.S.T. Sauveteurs Secourites du Travail</v>
      </c>
      <c r="H218">
        <v>4</v>
      </c>
    </row>
    <row r="219" spans="1:9" x14ac:dyDescent="0.25">
      <c r="A219">
        <v>83</v>
      </c>
      <c r="B219" t="s">
        <v>70</v>
      </c>
      <c r="C219">
        <v>2014</v>
      </c>
      <c r="F219" s="13">
        <v>1011</v>
      </c>
      <c r="G219" t="str">
        <f>VLOOKUP(F219,'Liste Formations'!$A$5:$B$182,2,FALSE)</f>
        <v>UTI.COM - SSI / CHUBB</v>
      </c>
      <c r="H219">
        <v>4</v>
      </c>
    </row>
    <row r="220" spans="1:9" x14ac:dyDescent="0.25">
      <c r="A220">
        <v>83</v>
      </c>
      <c r="B220" t="s">
        <v>70</v>
      </c>
      <c r="C220">
        <v>2015</v>
      </c>
      <c r="F220" s="13">
        <v>2019</v>
      </c>
      <c r="G220" t="str">
        <f>VLOOKUP(F220,'Liste Formations'!$A$5:$B$182,2,FALSE)</f>
        <v>Mélangeage
Mélangeur en interne</v>
      </c>
      <c r="H220">
        <v>28</v>
      </c>
    </row>
    <row r="221" spans="1:9" x14ac:dyDescent="0.25">
      <c r="A221">
        <v>83</v>
      </c>
      <c r="B221" t="s">
        <v>70</v>
      </c>
      <c r="C221">
        <v>2015</v>
      </c>
      <c r="F221" s="13">
        <v>2041</v>
      </c>
      <c r="G221" t="str">
        <f>VLOOKUP(F221,'Liste Formations'!$A$5:$B$182,2,FALSE)</f>
        <v>Excel</v>
      </c>
      <c r="H221">
        <v>24</v>
      </c>
    </row>
    <row r="222" spans="1:9" x14ac:dyDescent="0.25">
      <c r="A222">
        <v>83</v>
      </c>
      <c r="B222" t="s">
        <v>70</v>
      </c>
      <c r="C222">
        <v>2016</v>
      </c>
      <c r="F222" s="13">
        <v>2029</v>
      </c>
      <c r="G222" t="str">
        <f>VLOOKUP(F222,'Liste Formations'!$A$5:$B$182,2,FALSE)</f>
        <v>CORE
TOOLS</v>
      </c>
      <c r="H222">
        <v>7</v>
      </c>
    </row>
    <row r="223" spans="1:9" x14ac:dyDescent="0.25">
      <c r="A223">
        <v>83</v>
      </c>
      <c r="B223" t="s">
        <v>70</v>
      </c>
      <c r="C223">
        <v>2016</v>
      </c>
      <c r="F223" s="13">
        <v>2007</v>
      </c>
      <c r="G223" t="str">
        <f>VLOOKUP(F223,'Liste Formations'!$A$5:$B$182,2,FALSE)</f>
        <v>ERP DIVALTO</v>
      </c>
      <c r="H223">
        <v>14</v>
      </c>
    </row>
    <row r="224" spans="1:9" x14ac:dyDescent="0.25">
      <c r="A224">
        <v>83</v>
      </c>
      <c r="B224" t="s">
        <v>70</v>
      </c>
      <c r="C224">
        <v>2016</v>
      </c>
      <c r="F224" s="13">
        <v>1017</v>
      </c>
      <c r="G224" t="str">
        <f>VLOOKUP(F224,'Liste Formations'!$A$5:$B$182,2,FALSE)</f>
        <v>R. S.S.T. Recyclage Sauveteurs Secourites du Travail</v>
      </c>
      <c r="H224">
        <v>7</v>
      </c>
    </row>
    <row r="225" spans="1:9" x14ac:dyDescent="0.25">
      <c r="A225">
        <v>83</v>
      </c>
      <c r="B225" t="s">
        <v>70</v>
      </c>
      <c r="C225">
        <v>2017</v>
      </c>
      <c r="F225" s="13">
        <v>2007</v>
      </c>
      <c r="G225" t="str">
        <f>VLOOKUP(F225,'Liste Formations'!$A$5:$B$182,2,FALSE)</f>
        <v>ERP DIVALTO</v>
      </c>
      <c r="H225">
        <v>7</v>
      </c>
    </row>
    <row r="226" spans="1:9" x14ac:dyDescent="0.25">
      <c r="A226">
        <v>83</v>
      </c>
      <c r="B226" t="s">
        <v>70</v>
      </c>
      <c r="C226">
        <v>2017</v>
      </c>
      <c r="F226" s="13">
        <v>2018</v>
      </c>
      <c r="G226" t="str">
        <f>VLOOKUP(F226,'Liste Formations'!$A$5:$B$182,2,FALSE)</f>
        <v xml:space="preserve">Utilisation nouvelle PAE Pompe à engrenage / UTH </v>
      </c>
      <c r="H226">
        <v>14</v>
      </c>
    </row>
    <row r="227" spans="1:9" x14ac:dyDescent="0.25">
      <c r="A227">
        <v>83</v>
      </c>
      <c r="B227" t="s">
        <v>70</v>
      </c>
      <c r="C227">
        <v>2017</v>
      </c>
      <c r="F227" s="13">
        <v>1017</v>
      </c>
      <c r="G227" t="str">
        <f>VLOOKUP(F227,'Liste Formations'!$A$5:$B$182,2,FALSE)</f>
        <v>R. S.S.T. Recyclage Sauveteurs Secourites du Travail</v>
      </c>
      <c r="H227">
        <v>7</v>
      </c>
    </row>
    <row r="228" spans="1:9" x14ac:dyDescent="0.25">
      <c r="A228">
        <v>83</v>
      </c>
      <c r="B228" t="s">
        <v>70</v>
      </c>
      <c r="C228">
        <v>2018</v>
      </c>
      <c r="F228" s="13">
        <v>1021</v>
      </c>
      <c r="G228" t="str">
        <f>VLOOKUP(F228,'Liste Formations'!$A$5:$B$182,2,FALSE)</f>
        <v>Gestion du stress</v>
      </c>
      <c r="H228">
        <v>4</v>
      </c>
    </row>
    <row r="229" spans="1:9" x14ac:dyDescent="0.25">
      <c r="A229">
        <v>83</v>
      </c>
      <c r="B229" t="s">
        <v>70</v>
      </c>
      <c r="C229">
        <v>2018</v>
      </c>
      <c r="F229" s="13">
        <v>1004</v>
      </c>
      <c r="G229" t="str">
        <f>VLOOKUP(F229,'Liste Formations'!$A$5:$B$182,2,FALSE)</f>
        <v>Conduite Chariots Cat.3</v>
      </c>
      <c r="H229">
        <v>7</v>
      </c>
    </row>
    <row r="230" spans="1:9" x14ac:dyDescent="0.25">
      <c r="A230">
        <v>83</v>
      </c>
      <c r="B230" t="s">
        <v>70</v>
      </c>
      <c r="C230">
        <v>2019</v>
      </c>
      <c r="F230" s="13">
        <v>1017</v>
      </c>
      <c r="G230" t="str">
        <f>VLOOKUP(F230,'Liste Formations'!$A$5:$B$182,2,FALSE)</f>
        <v>R. S.S.T. Recyclage Sauveteurs Secourites du Travail</v>
      </c>
      <c r="H230">
        <v>7</v>
      </c>
    </row>
    <row r="231" spans="1:9" x14ac:dyDescent="0.25">
      <c r="A231">
        <v>83</v>
      </c>
      <c r="B231" t="s">
        <v>70</v>
      </c>
      <c r="C231">
        <v>2019</v>
      </c>
      <c r="F231" s="13">
        <v>2021</v>
      </c>
      <c r="G231" t="str">
        <f>VLOOKUP(F231,'Liste Formations'!$A$5:$B$182,2,FALSE)</f>
        <v>ENTERPRISE / ALPHA TECHNOLOGIE</v>
      </c>
      <c r="H231">
        <v>11</v>
      </c>
    </row>
    <row r="232" spans="1:9" x14ac:dyDescent="0.25">
      <c r="A232">
        <v>83</v>
      </c>
      <c r="B232" t="s">
        <v>70</v>
      </c>
      <c r="C232">
        <v>2020</v>
      </c>
      <c r="F232" s="13">
        <v>2017</v>
      </c>
      <c r="G232" t="str">
        <f>VLOOKUP(F232,'Liste Formations'!$A$5:$B$182,2,FALSE)</f>
        <v>Machine BATCH OFF/Lescuyer + Machines Calandrage</v>
      </c>
      <c r="H232">
        <v>20</v>
      </c>
    </row>
    <row r="233" spans="1:9" x14ac:dyDescent="0.25">
      <c r="A233">
        <v>83</v>
      </c>
      <c r="B233" t="s">
        <v>70</v>
      </c>
      <c r="C233">
        <v>2021</v>
      </c>
      <c r="F233" s="13">
        <v>1017</v>
      </c>
      <c r="G233" t="str">
        <f>VLOOKUP(F233,'Liste Formations'!$A$5:$B$182,2,FALSE)</f>
        <v>R. S.S.T. Recyclage Sauveteurs Secourites du Travail</v>
      </c>
      <c r="H233">
        <v>7</v>
      </c>
    </row>
    <row r="234" spans="1:9" x14ac:dyDescent="0.25">
      <c r="A234">
        <v>83</v>
      </c>
      <c r="B234" t="s">
        <v>70</v>
      </c>
      <c r="C234">
        <v>2023</v>
      </c>
      <c r="F234" s="13">
        <v>1010</v>
      </c>
      <c r="G234" t="s">
        <v>222</v>
      </c>
      <c r="H234">
        <v>2</v>
      </c>
    </row>
    <row r="235" spans="1:9" x14ac:dyDescent="0.25">
      <c r="A235">
        <v>83</v>
      </c>
      <c r="B235" t="s">
        <v>70</v>
      </c>
      <c r="C235">
        <v>2023</v>
      </c>
      <c r="F235" s="13">
        <v>1009</v>
      </c>
      <c r="G235" t="str">
        <f>VLOOKUP(F235,'Liste Formations'!$A$5:$B$182,2,FALSE)</f>
        <v>Défibrillateur</v>
      </c>
      <c r="H235">
        <v>2</v>
      </c>
    </row>
    <row r="236" spans="1:9" x14ac:dyDescent="0.25">
      <c r="A236">
        <v>83</v>
      </c>
      <c r="B236" t="s">
        <v>70</v>
      </c>
      <c r="C236">
        <v>2023</v>
      </c>
      <c r="F236" s="13">
        <v>1017</v>
      </c>
      <c r="G236" t="str">
        <f>VLOOKUP(F236,'Liste Formations'!$A$5:$B$182,2,FALSE)</f>
        <v>R. S.S.T. Recyclage Sauveteurs Secourites du Travail</v>
      </c>
      <c r="H236">
        <v>7</v>
      </c>
    </row>
    <row r="237" spans="1:9" x14ac:dyDescent="0.25">
      <c r="A237">
        <v>83</v>
      </c>
      <c r="B237" t="s">
        <v>70</v>
      </c>
      <c r="C237">
        <v>2023</v>
      </c>
      <c r="F237" s="13">
        <v>1004</v>
      </c>
      <c r="G237" t="str">
        <f>VLOOKUP(F237,'Liste Formations'!$A$5:$B$182,2,FALSE)</f>
        <v>Conduite Chariots Cat.3</v>
      </c>
      <c r="H237">
        <v>7</v>
      </c>
    </row>
    <row r="238" spans="1:9" x14ac:dyDescent="0.25">
      <c r="A238">
        <v>83</v>
      </c>
      <c r="B238" t="s">
        <v>70</v>
      </c>
      <c r="C238">
        <v>2024</v>
      </c>
      <c r="F238" s="13">
        <v>3011</v>
      </c>
      <c r="G238" t="str">
        <f>VLOOKUP(F238,'Liste Formations'!$A$5:$B$182,2,FALSE)</f>
        <v>Poste 834</v>
      </c>
      <c r="H238">
        <v>8</v>
      </c>
    </row>
    <row r="239" spans="1:9" x14ac:dyDescent="0.25">
      <c r="A239">
        <v>83</v>
      </c>
      <c r="B239" t="s">
        <v>70</v>
      </c>
      <c r="C239">
        <v>2025</v>
      </c>
      <c r="D239" s="18">
        <v>45926</v>
      </c>
      <c r="E239" s="18">
        <v>45926</v>
      </c>
      <c r="F239" s="13">
        <v>1017</v>
      </c>
      <c r="G239" t="s">
        <v>303</v>
      </c>
      <c r="H239">
        <v>7</v>
      </c>
      <c r="I239" t="s">
        <v>314</v>
      </c>
    </row>
    <row r="243" spans="1:8" x14ac:dyDescent="0.25">
      <c r="A243">
        <v>10000030</v>
      </c>
      <c r="B243" t="s">
        <v>169</v>
      </c>
      <c r="C243">
        <v>2024</v>
      </c>
      <c r="F243" s="13">
        <v>3002</v>
      </c>
      <c r="G243" t="str">
        <f>VLOOKUP(F243,'Liste Formations'!$A$5:$B$182,2,FALSE)</f>
        <v>Poste 507</v>
      </c>
      <c r="H243">
        <v>105</v>
      </c>
    </row>
    <row r="244" spans="1:8" x14ac:dyDescent="0.25">
      <c r="A244">
        <v>10000030</v>
      </c>
      <c r="B244" t="s">
        <v>169</v>
      </c>
      <c r="C244">
        <v>2024</v>
      </c>
      <c r="F244" s="13">
        <v>3006</v>
      </c>
      <c r="G244" t="str">
        <f>VLOOKUP(F244,'Liste Formations'!$A$5:$B$182,2,FALSE)</f>
        <v>Poste 515</v>
      </c>
      <c r="H244">
        <v>70</v>
      </c>
    </row>
    <row r="247" spans="1:8" x14ac:dyDescent="0.25">
      <c r="A247">
        <v>447</v>
      </c>
      <c r="B247" t="s">
        <v>71</v>
      </c>
      <c r="C247">
        <v>2022</v>
      </c>
      <c r="F247" s="13">
        <v>3038</v>
      </c>
      <c r="G247" t="str">
        <f>VLOOKUP(F247,'Liste Formations'!$A$5:$B$182,2,FALSE)</f>
        <v>Poste 1401</v>
      </c>
      <c r="H247">
        <v>151.66999999999999</v>
      </c>
    </row>
    <row r="248" spans="1:8" x14ac:dyDescent="0.25">
      <c r="A248">
        <v>447</v>
      </c>
      <c r="B248" t="s">
        <v>71</v>
      </c>
      <c r="C248">
        <v>2022</v>
      </c>
      <c r="F248" s="13">
        <v>3039</v>
      </c>
      <c r="G248" t="str">
        <f>VLOOKUP(F248,'Liste Formations'!$A$5:$B$182,2,FALSE)</f>
        <v>Poste 1402</v>
      </c>
      <c r="H248">
        <v>151.66999999999999</v>
      </c>
    </row>
    <row r="249" spans="1:8" x14ac:dyDescent="0.25">
      <c r="A249">
        <v>447</v>
      </c>
      <c r="B249" t="s">
        <v>71</v>
      </c>
      <c r="C249">
        <v>2023</v>
      </c>
      <c r="F249" s="13">
        <v>3043</v>
      </c>
      <c r="G249" t="str">
        <f>VLOOKUP(F249,'Liste Formations'!$A$5:$B$182,2,FALSE)</f>
        <v>Poste 1412</v>
      </c>
      <c r="H249">
        <v>151.66999999999999</v>
      </c>
    </row>
    <row r="250" spans="1:8" x14ac:dyDescent="0.25">
      <c r="A250">
        <v>447</v>
      </c>
      <c r="B250" t="s">
        <v>71</v>
      </c>
      <c r="C250">
        <v>2023</v>
      </c>
      <c r="F250" s="13">
        <v>1012</v>
      </c>
      <c r="G250" t="str">
        <f>VLOOKUP(F250,'Liste Formations'!$A$5:$B$182,2,FALSE)</f>
        <v>ATEX Niveau 0 - Sensibilisation</v>
      </c>
      <c r="H250">
        <v>3.5</v>
      </c>
    </row>
    <row r="251" spans="1:8" x14ac:dyDescent="0.25">
      <c r="A251">
        <v>447</v>
      </c>
      <c r="B251" t="s">
        <v>71</v>
      </c>
      <c r="C251">
        <v>2023</v>
      </c>
      <c r="F251" s="13">
        <v>1010</v>
      </c>
      <c r="G251" t="s">
        <v>222</v>
      </c>
      <c r="H251">
        <v>2</v>
      </c>
    </row>
    <row r="252" spans="1:8" x14ac:dyDescent="0.25">
      <c r="A252">
        <v>447</v>
      </c>
      <c r="B252" t="s">
        <v>71</v>
      </c>
      <c r="C252">
        <v>2023</v>
      </c>
      <c r="F252" s="13">
        <v>1009</v>
      </c>
      <c r="G252" t="str">
        <f>VLOOKUP(F252,'Liste Formations'!$A$5:$B$182,2,FALSE)</f>
        <v>Défibrillateur</v>
      </c>
      <c r="H252">
        <v>2</v>
      </c>
    </row>
    <row r="253" spans="1:8" x14ac:dyDescent="0.25">
      <c r="A253">
        <v>447</v>
      </c>
      <c r="B253" t="s">
        <v>71</v>
      </c>
      <c r="C253">
        <v>2023</v>
      </c>
      <c r="F253" s="13">
        <v>1002</v>
      </c>
      <c r="G253" t="str">
        <f>VLOOKUP(F253,'Liste Formations'!$A$5:$B$182,2,FALSE)</f>
        <v>Conduite Chariots Cat.3 et Cat.5</v>
      </c>
      <c r="H253">
        <v>14</v>
      </c>
    </row>
    <row r="254" spans="1:8" x14ac:dyDescent="0.25">
      <c r="A254">
        <v>447</v>
      </c>
      <c r="B254" t="s">
        <v>71</v>
      </c>
      <c r="C254">
        <v>2024</v>
      </c>
      <c r="F254" s="13">
        <v>1006</v>
      </c>
      <c r="G254" t="str">
        <f>VLOOKUP(F254,'Liste Formations'!$A$5:$B$182,2,FALSE)</f>
        <v>Habilitation électrique BE Manœuvre BS</v>
      </c>
      <c r="H254">
        <v>14</v>
      </c>
    </row>
    <row r="255" spans="1:8" x14ac:dyDescent="0.25">
      <c r="A255">
        <v>447</v>
      </c>
      <c r="B255" t="s">
        <v>71</v>
      </c>
      <c r="C255">
        <v>2024</v>
      </c>
      <c r="F255" s="13">
        <v>1020</v>
      </c>
      <c r="G255" t="str">
        <f>VLOOKUP(F255,'Liste Formations'!$A$5:$B$182,2,FALSE)</f>
        <v>Prévention TMS - Gestes Postures et Nutrition</v>
      </c>
      <c r="H255">
        <v>3.5</v>
      </c>
    </row>
    <row r="256" spans="1:8" x14ac:dyDescent="0.25">
      <c r="A256">
        <v>447</v>
      </c>
      <c r="B256" t="s">
        <v>71</v>
      </c>
      <c r="C256">
        <v>2024</v>
      </c>
      <c r="F256" s="13">
        <v>1032</v>
      </c>
      <c r="G256" t="str">
        <f>VLOOKUP(F256,'Liste Formations'!$A$5:$B$182,2,FALSE)</f>
        <v>Sensibilisation RPS Risques Psychosociaux</v>
      </c>
      <c r="H256">
        <v>2</v>
      </c>
    </row>
    <row r="257" spans="1:8" x14ac:dyDescent="0.25">
      <c r="A257">
        <v>447</v>
      </c>
      <c r="B257" t="s">
        <v>71</v>
      </c>
      <c r="C257">
        <v>2024</v>
      </c>
      <c r="F257" s="13">
        <v>2031</v>
      </c>
      <c r="G257" t="str">
        <f>VLOOKUP(F257,'Liste Formations'!$A$5:$B$182,2,FALSE)</f>
        <v>Qualité</v>
      </c>
      <c r="H257">
        <v>2</v>
      </c>
    </row>
    <row r="258" spans="1:8" x14ac:dyDescent="0.25">
      <c r="A258">
        <v>447</v>
      </c>
      <c r="B258" t="s">
        <v>71</v>
      </c>
      <c r="C258">
        <v>2024</v>
      </c>
      <c r="F258" s="13">
        <v>1010</v>
      </c>
      <c r="G258" t="s">
        <v>222</v>
      </c>
      <c r="H258">
        <v>2</v>
      </c>
    </row>
    <row r="259" spans="1:8" x14ac:dyDescent="0.25">
      <c r="A259">
        <v>447</v>
      </c>
      <c r="B259" t="s">
        <v>71</v>
      </c>
      <c r="C259">
        <v>2024</v>
      </c>
      <c r="F259" s="13">
        <v>1009</v>
      </c>
      <c r="G259" t="str">
        <f>VLOOKUP(F259,'Liste Formations'!$A$5:$B$182,2,FALSE)</f>
        <v>Défibrillateur</v>
      </c>
      <c r="H259">
        <v>2</v>
      </c>
    </row>
    <row r="260" spans="1:8" x14ac:dyDescent="0.25">
      <c r="A260">
        <v>447</v>
      </c>
      <c r="B260" t="s">
        <v>71</v>
      </c>
      <c r="C260">
        <v>2024</v>
      </c>
      <c r="F260" s="13">
        <v>3001</v>
      </c>
      <c r="G260" t="str">
        <f>VLOOKUP(F260,'Liste Formations'!$A$5:$B$182,2,FALSE)</f>
        <v>Poste 506</v>
      </c>
      <c r="H260">
        <v>140</v>
      </c>
    </row>
    <row r="261" spans="1:8" x14ac:dyDescent="0.25">
      <c r="A261">
        <v>447</v>
      </c>
      <c r="B261" t="s">
        <v>71</v>
      </c>
      <c r="C261">
        <v>2024</v>
      </c>
      <c r="F261" s="13">
        <v>3002</v>
      </c>
      <c r="G261" t="str">
        <f>VLOOKUP(F261,'Liste Formations'!$A$5:$B$182,2,FALSE)</f>
        <v>Poste 507</v>
      </c>
      <c r="H261">
        <v>6</v>
      </c>
    </row>
    <row r="262" spans="1:8" x14ac:dyDescent="0.25">
      <c r="A262">
        <v>447</v>
      </c>
      <c r="B262" t="s">
        <v>71</v>
      </c>
      <c r="C262">
        <v>2024</v>
      </c>
      <c r="F262" s="13">
        <v>3006</v>
      </c>
      <c r="G262" t="str">
        <f>VLOOKUP(F262,'Liste Formations'!$A$5:$B$182,2,FALSE)</f>
        <v>Poste 515</v>
      </c>
      <c r="H262">
        <v>70</v>
      </c>
    </row>
    <row r="263" spans="1:8" x14ac:dyDescent="0.25">
      <c r="A263">
        <v>447</v>
      </c>
      <c r="B263" t="s">
        <v>71</v>
      </c>
      <c r="C263">
        <v>2024</v>
      </c>
      <c r="F263" s="13">
        <v>3037</v>
      </c>
      <c r="G263" t="str">
        <f>VLOOKUP(F263,'Liste Formations'!$A$5:$B$182,2,FALSE)</f>
        <v>Poste 1121</v>
      </c>
      <c r="H263">
        <v>35</v>
      </c>
    </row>
    <row r="266" spans="1:8" x14ac:dyDescent="0.25">
      <c r="A266">
        <v>352</v>
      </c>
      <c r="B266" t="s">
        <v>165</v>
      </c>
      <c r="C266">
        <v>2015</v>
      </c>
      <c r="F266" s="13">
        <v>3033</v>
      </c>
      <c r="G266" t="str">
        <f>VLOOKUP(F266,'Liste Formations'!$A$5:$B$182,2,FALSE)</f>
        <v>Poste 1101</v>
      </c>
      <c r="H266">
        <v>151.66999999999999</v>
      </c>
    </row>
    <row r="267" spans="1:8" x14ac:dyDescent="0.25">
      <c r="A267">
        <v>352</v>
      </c>
      <c r="B267" t="s">
        <v>165</v>
      </c>
      <c r="C267">
        <v>2016</v>
      </c>
      <c r="F267" s="13">
        <v>3037</v>
      </c>
      <c r="G267" t="str">
        <f>VLOOKUP(F267,'Liste Formations'!$A$5:$B$182,2,FALSE)</f>
        <v>Poste 1121</v>
      </c>
      <c r="H267">
        <v>151.66999999999999</v>
      </c>
    </row>
    <row r="268" spans="1:8" x14ac:dyDescent="0.25">
      <c r="A268">
        <v>352</v>
      </c>
      <c r="B268" t="s">
        <v>165</v>
      </c>
      <c r="C268">
        <v>2017</v>
      </c>
      <c r="F268" s="13">
        <v>3002</v>
      </c>
      <c r="G268" t="str">
        <f>VLOOKUP(F268,'Liste Formations'!$A$5:$B$182,2,FALSE)</f>
        <v>Poste 507</v>
      </c>
      <c r="H268">
        <v>151.66999999999999</v>
      </c>
    </row>
    <row r="269" spans="1:8" x14ac:dyDescent="0.25">
      <c r="A269">
        <v>352</v>
      </c>
      <c r="B269" t="s">
        <v>165</v>
      </c>
      <c r="C269">
        <v>2017</v>
      </c>
      <c r="F269" s="13">
        <v>3005</v>
      </c>
      <c r="G269" t="str">
        <f>VLOOKUP(F269,'Liste Formations'!$A$5:$B$182,2,FALSE)</f>
        <v>Poste 514</v>
      </c>
      <c r="H269">
        <v>151.66999999999999</v>
      </c>
    </row>
    <row r="270" spans="1:8" x14ac:dyDescent="0.25">
      <c r="A270">
        <v>352</v>
      </c>
      <c r="B270" t="s">
        <v>165</v>
      </c>
      <c r="C270">
        <v>2017</v>
      </c>
      <c r="F270" s="13">
        <v>3006</v>
      </c>
      <c r="G270" t="str">
        <f>VLOOKUP(F270,'Liste Formations'!$A$5:$B$182,2,FALSE)</f>
        <v>Poste 515</v>
      </c>
      <c r="H270">
        <v>151.66999999999999</v>
      </c>
    </row>
    <row r="271" spans="1:8" x14ac:dyDescent="0.25">
      <c r="A271">
        <v>352</v>
      </c>
      <c r="B271" t="s">
        <v>165</v>
      </c>
      <c r="C271">
        <v>2017</v>
      </c>
      <c r="F271" s="13">
        <v>3007</v>
      </c>
      <c r="G271" t="str">
        <f>VLOOKUP(F271,'Liste Formations'!$A$5:$B$182,2,FALSE)</f>
        <v>Poste 516</v>
      </c>
      <c r="H271">
        <v>151.66999999999999</v>
      </c>
    </row>
    <row r="272" spans="1:8" x14ac:dyDescent="0.25">
      <c r="A272">
        <v>352</v>
      </c>
      <c r="B272" t="s">
        <v>165</v>
      </c>
      <c r="C272">
        <v>2017</v>
      </c>
      <c r="F272" s="13">
        <v>3008</v>
      </c>
      <c r="G272" t="str">
        <f>VLOOKUP(F272,'Liste Formations'!$A$5:$B$182,2,FALSE)</f>
        <v>Poste 560</v>
      </c>
      <c r="H272">
        <v>151.66999999999999</v>
      </c>
    </row>
    <row r="273" spans="1:8" x14ac:dyDescent="0.25">
      <c r="A273">
        <v>352</v>
      </c>
      <c r="B273" t="s">
        <v>165</v>
      </c>
      <c r="C273">
        <v>2017</v>
      </c>
      <c r="F273" s="13">
        <v>3033</v>
      </c>
      <c r="G273" t="str">
        <f>VLOOKUP(F273,'Liste Formations'!$A$5:$B$182,2,FALSE)</f>
        <v>Poste 1101</v>
      </c>
      <c r="H273">
        <v>151.66999999999999</v>
      </c>
    </row>
    <row r="274" spans="1:8" x14ac:dyDescent="0.25">
      <c r="A274">
        <v>352</v>
      </c>
      <c r="B274" t="s">
        <v>165</v>
      </c>
      <c r="C274">
        <v>2017</v>
      </c>
      <c r="F274" s="13">
        <v>2007</v>
      </c>
      <c r="G274" t="str">
        <f>VLOOKUP(F274,'Liste Formations'!$A$5:$B$182,2,FALSE)</f>
        <v>ERP DIVALTO</v>
      </c>
      <c r="H274">
        <v>2.5</v>
      </c>
    </row>
    <row r="275" spans="1:8" x14ac:dyDescent="0.25">
      <c r="A275">
        <v>352</v>
      </c>
      <c r="B275" t="s">
        <v>165</v>
      </c>
      <c r="C275">
        <v>2018</v>
      </c>
      <c r="F275" s="13">
        <v>3032</v>
      </c>
      <c r="G275" t="str">
        <f>VLOOKUP(F275,'Liste Formations'!$A$5:$B$182,2,FALSE)</f>
        <v>Poste 1100</v>
      </c>
      <c r="H275">
        <v>151.66999999999999</v>
      </c>
    </row>
    <row r="276" spans="1:8" x14ac:dyDescent="0.25">
      <c r="A276">
        <v>352</v>
      </c>
      <c r="B276" t="s">
        <v>165</v>
      </c>
      <c r="C276">
        <v>2018</v>
      </c>
      <c r="F276" s="13">
        <v>3034</v>
      </c>
      <c r="G276" t="str">
        <f>VLOOKUP(F276,'Liste Formations'!$A$5:$B$182,2,FALSE)</f>
        <v>Poste 1103</v>
      </c>
      <c r="H276">
        <v>151.66999999999999</v>
      </c>
    </row>
    <row r="277" spans="1:8" x14ac:dyDescent="0.25">
      <c r="A277">
        <v>352</v>
      </c>
      <c r="B277" t="s">
        <v>165</v>
      </c>
      <c r="C277">
        <v>2018</v>
      </c>
      <c r="F277" s="13">
        <v>3037</v>
      </c>
      <c r="G277" t="str">
        <f>VLOOKUP(F277,'Liste Formations'!$A$5:$B$182,2,FALSE)</f>
        <v>Poste 1121</v>
      </c>
      <c r="H277">
        <v>151.66999999999999</v>
      </c>
    </row>
    <row r="278" spans="1:8" x14ac:dyDescent="0.25">
      <c r="A278">
        <v>352</v>
      </c>
      <c r="B278" t="s">
        <v>165</v>
      </c>
      <c r="C278">
        <v>2018</v>
      </c>
      <c r="F278" s="13">
        <v>1004</v>
      </c>
      <c r="G278" t="str">
        <f>VLOOKUP(F278,'Liste Formations'!$A$5:$B$182,2,FALSE)</f>
        <v>Conduite Chariots Cat.3</v>
      </c>
      <c r="H278">
        <v>7</v>
      </c>
    </row>
    <row r="279" spans="1:8" x14ac:dyDescent="0.25">
      <c r="A279">
        <v>352</v>
      </c>
      <c r="B279" t="s">
        <v>165</v>
      </c>
      <c r="C279">
        <v>2018</v>
      </c>
      <c r="F279" s="13">
        <v>1010</v>
      </c>
      <c r="G279" t="s">
        <v>222</v>
      </c>
      <c r="H279">
        <v>3</v>
      </c>
    </row>
    <row r="280" spans="1:8" x14ac:dyDescent="0.25">
      <c r="A280">
        <v>352</v>
      </c>
      <c r="B280" t="s">
        <v>165</v>
      </c>
      <c r="C280">
        <v>2018</v>
      </c>
      <c r="F280" s="13">
        <v>1009</v>
      </c>
      <c r="G280" t="str">
        <f>VLOOKUP(F280,'Liste Formations'!$A$5:$B$182,2,FALSE)</f>
        <v>Défibrillateur</v>
      </c>
      <c r="H280">
        <v>3</v>
      </c>
    </row>
    <row r="281" spans="1:8" x14ac:dyDescent="0.25">
      <c r="A281">
        <v>352</v>
      </c>
      <c r="B281" t="s">
        <v>165</v>
      </c>
      <c r="C281">
        <v>2018</v>
      </c>
      <c r="F281" s="13">
        <v>1020</v>
      </c>
      <c r="G281" t="str">
        <f>VLOOKUP(F281,'Liste Formations'!$A$5:$B$182,2,FALSE)</f>
        <v>Prévention TMS - Gestes Postures et Nutrition</v>
      </c>
      <c r="H281">
        <v>3.5</v>
      </c>
    </row>
    <row r="282" spans="1:8" x14ac:dyDescent="0.25">
      <c r="A282">
        <v>352</v>
      </c>
      <c r="B282" t="s">
        <v>165</v>
      </c>
      <c r="C282">
        <v>2019</v>
      </c>
      <c r="F282" s="13">
        <v>1022</v>
      </c>
      <c r="G282" t="str">
        <f>VLOOKUP(F282,'Liste Formations'!$A$5:$B$182,2,FALSE)</f>
        <v>Sensibilisation au bruit</v>
      </c>
      <c r="H282">
        <v>0.16</v>
      </c>
    </row>
    <row r="283" spans="1:8" x14ac:dyDescent="0.25">
      <c r="A283">
        <v>352</v>
      </c>
      <c r="B283" t="s">
        <v>165</v>
      </c>
      <c r="C283">
        <v>2019</v>
      </c>
      <c r="F283" s="13">
        <v>3001</v>
      </c>
      <c r="G283" t="str">
        <f>VLOOKUP(F283,'Liste Formations'!$A$5:$B$182,2,FALSE)</f>
        <v>Poste 506</v>
      </c>
      <c r="H283">
        <v>151.66999999999999</v>
      </c>
    </row>
    <row r="284" spans="1:8" x14ac:dyDescent="0.25">
      <c r="A284">
        <v>352</v>
      </c>
      <c r="B284" t="s">
        <v>165</v>
      </c>
      <c r="C284">
        <v>2019</v>
      </c>
      <c r="F284" s="13">
        <v>3002</v>
      </c>
      <c r="G284" t="str">
        <f>VLOOKUP(F284,'Liste Formations'!$A$5:$B$182,2,FALSE)</f>
        <v>Poste 507</v>
      </c>
      <c r="H284">
        <v>151.66999999999999</v>
      </c>
    </row>
    <row r="285" spans="1:8" x14ac:dyDescent="0.25">
      <c r="A285">
        <v>352</v>
      </c>
      <c r="B285" t="s">
        <v>165</v>
      </c>
      <c r="C285">
        <v>2019</v>
      </c>
      <c r="F285" s="13">
        <v>3005</v>
      </c>
      <c r="G285" t="str">
        <f>VLOOKUP(F285,'Liste Formations'!$A$5:$B$182,2,FALSE)</f>
        <v>Poste 514</v>
      </c>
      <c r="H285">
        <v>151.66999999999999</v>
      </c>
    </row>
    <row r="286" spans="1:8" x14ac:dyDescent="0.25">
      <c r="A286">
        <v>352</v>
      </c>
      <c r="B286" t="s">
        <v>165</v>
      </c>
      <c r="C286">
        <v>2019</v>
      </c>
      <c r="F286" s="13">
        <v>3006</v>
      </c>
      <c r="G286" t="str">
        <f>VLOOKUP(F286,'Liste Formations'!$A$5:$B$182,2,FALSE)</f>
        <v>Poste 515</v>
      </c>
      <c r="H286">
        <v>151.66999999999999</v>
      </c>
    </row>
    <row r="287" spans="1:8" x14ac:dyDescent="0.25">
      <c r="A287">
        <v>352</v>
      </c>
      <c r="B287" t="s">
        <v>165</v>
      </c>
      <c r="C287">
        <v>2019</v>
      </c>
      <c r="F287" s="13">
        <v>3007</v>
      </c>
      <c r="G287" t="str">
        <f>VLOOKUP(F287,'Liste Formations'!$A$5:$B$182,2,FALSE)</f>
        <v>Poste 516</v>
      </c>
      <c r="H287">
        <v>151.66999999999999</v>
      </c>
    </row>
    <row r="288" spans="1:8" x14ac:dyDescent="0.25">
      <c r="A288">
        <v>352</v>
      </c>
      <c r="B288" t="s">
        <v>165</v>
      </c>
      <c r="C288">
        <v>2019</v>
      </c>
      <c r="F288" s="13">
        <v>3008</v>
      </c>
      <c r="G288" t="str">
        <f>VLOOKUP(F288,'Liste Formations'!$A$5:$B$182,2,FALSE)</f>
        <v>Poste 560</v>
      </c>
      <c r="H288">
        <v>151.66999999999999</v>
      </c>
    </row>
    <row r="289" spans="1:8" x14ac:dyDescent="0.25">
      <c r="A289">
        <v>352</v>
      </c>
      <c r="B289" t="s">
        <v>165</v>
      </c>
      <c r="C289">
        <v>2019</v>
      </c>
      <c r="F289" s="13">
        <v>3014</v>
      </c>
      <c r="G289" t="str">
        <f>VLOOKUP(F289,'Liste Formations'!$A$5:$B$182,2,FALSE)</f>
        <v>Poste 902</v>
      </c>
      <c r="H289">
        <v>151.66999999999999</v>
      </c>
    </row>
    <row r="290" spans="1:8" x14ac:dyDescent="0.25">
      <c r="A290">
        <v>352</v>
      </c>
      <c r="B290" t="s">
        <v>165</v>
      </c>
      <c r="C290">
        <v>2019</v>
      </c>
      <c r="F290" s="13">
        <v>3023</v>
      </c>
      <c r="G290" t="str">
        <f>VLOOKUP(F290,'Liste Formations'!$A$5:$B$182,2,FALSE)</f>
        <v>Poste 923</v>
      </c>
      <c r="H290">
        <v>151.66999999999999</v>
      </c>
    </row>
    <row r="291" spans="1:8" x14ac:dyDescent="0.25">
      <c r="A291">
        <v>352</v>
      </c>
      <c r="B291" t="s">
        <v>165</v>
      </c>
      <c r="C291">
        <v>2019</v>
      </c>
      <c r="F291" s="13">
        <v>3033</v>
      </c>
      <c r="G291" t="str">
        <f>VLOOKUP(F291,'Liste Formations'!$A$5:$B$182,2,FALSE)</f>
        <v>Poste 1101</v>
      </c>
      <c r="H291">
        <v>151.66999999999999</v>
      </c>
    </row>
    <row r="292" spans="1:8" x14ac:dyDescent="0.25">
      <c r="A292">
        <v>352</v>
      </c>
      <c r="B292" t="s">
        <v>165</v>
      </c>
      <c r="C292">
        <v>2019</v>
      </c>
      <c r="F292" s="13">
        <v>3037</v>
      </c>
      <c r="G292" t="str">
        <f>VLOOKUP(F292,'Liste Formations'!$A$5:$B$182,2,FALSE)</f>
        <v>Poste 1121</v>
      </c>
      <c r="H292">
        <v>151.66999999999999</v>
      </c>
    </row>
    <row r="293" spans="1:8" x14ac:dyDescent="0.25">
      <c r="A293">
        <v>352</v>
      </c>
      <c r="B293" t="s">
        <v>165</v>
      </c>
      <c r="C293">
        <v>2021</v>
      </c>
      <c r="F293" s="13">
        <v>3015</v>
      </c>
      <c r="G293" t="str">
        <f>VLOOKUP(F293,'Liste Formations'!$A$5:$B$182,2,FALSE)</f>
        <v>Poste 903</v>
      </c>
      <c r="H293">
        <v>151.66999999999999</v>
      </c>
    </row>
    <row r="294" spans="1:8" x14ac:dyDescent="0.25">
      <c r="A294">
        <v>352</v>
      </c>
      <c r="B294" t="s">
        <v>165</v>
      </c>
      <c r="C294">
        <v>2021</v>
      </c>
      <c r="F294" s="13">
        <v>3018</v>
      </c>
      <c r="G294" t="str">
        <f>VLOOKUP(F294,'Liste Formations'!$A$5:$B$182,2,FALSE)</f>
        <v>Poste 906</v>
      </c>
      <c r="H294">
        <v>151.66999999999999</v>
      </c>
    </row>
    <row r="295" spans="1:8" x14ac:dyDescent="0.25">
      <c r="A295">
        <v>352</v>
      </c>
      <c r="B295" t="s">
        <v>165</v>
      </c>
      <c r="C295">
        <v>2021</v>
      </c>
      <c r="F295" s="13">
        <v>3024</v>
      </c>
      <c r="G295" t="str">
        <f>VLOOKUP(F295,'Liste Formations'!$A$5:$B$182,2,FALSE)</f>
        <v>Poste 924</v>
      </c>
      <c r="H295">
        <v>151.66999999999999</v>
      </c>
    </row>
    <row r="296" spans="1:8" x14ac:dyDescent="0.25">
      <c r="A296">
        <v>352</v>
      </c>
      <c r="B296" t="s">
        <v>165</v>
      </c>
      <c r="C296">
        <v>2021</v>
      </c>
      <c r="F296" s="13">
        <v>3026</v>
      </c>
      <c r="G296" t="str">
        <f>VLOOKUP(F296,'Liste Formations'!$A$5:$B$182,2,FALSE)</f>
        <v>Poste 940</v>
      </c>
      <c r="H296">
        <v>151.66999999999999</v>
      </c>
    </row>
    <row r="297" spans="1:8" x14ac:dyDescent="0.25">
      <c r="A297">
        <v>352</v>
      </c>
      <c r="B297" t="s">
        <v>165</v>
      </c>
      <c r="C297">
        <v>2021</v>
      </c>
      <c r="F297" s="13">
        <v>3027</v>
      </c>
      <c r="G297" t="str">
        <f>VLOOKUP(F297,'Liste Formations'!$A$5:$B$182,2,FALSE)</f>
        <v>Poste 941</v>
      </c>
      <c r="H297">
        <v>151.66999999999999</v>
      </c>
    </row>
    <row r="298" spans="1:8" x14ac:dyDescent="0.25">
      <c r="A298">
        <v>352</v>
      </c>
      <c r="B298" t="s">
        <v>165</v>
      </c>
      <c r="C298">
        <v>2021</v>
      </c>
      <c r="F298" s="13">
        <v>3028</v>
      </c>
      <c r="G298" t="str">
        <f>VLOOKUP(F298,'Liste Formations'!$A$5:$B$182,2,FALSE)</f>
        <v>Poste 942</v>
      </c>
      <c r="H298">
        <v>151.66999999999999</v>
      </c>
    </row>
    <row r="299" spans="1:8" x14ac:dyDescent="0.25">
      <c r="A299">
        <v>352</v>
      </c>
      <c r="B299" t="s">
        <v>165</v>
      </c>
      <c r="C299">
        <v>2023</v>
      </c>
      <c r="F299" s="13">
        <v>3039</v>
      </c>
      <c r="G299" t="str">
        <f>VLOOKUP(F299,'Liste Formations'!$A$5:$B$182,2,FALSE)</f>
        <v>Poste 1402</v>
      </c>
      <c r="H299">
        <v>151.66999999999999</v>
      </c>
    </row>
    <row r="300" spans="1:8" x14ac:dyDescent="0.25">
      <c r="A300">
        <v>352</v>
      </c>
      <c r="B300" t="s">
        <v>165</v>
      </c>
      <c r="C300">
        <v>2023</v>
      </c>
      <c r="F300" s="13">
        <v>3043</v>
      </c>
      <c r="G300" t="str">
        <f>VLOOKUP(F300,'Liste Formations'!$A$5:$B$182,2,FALSE)</f>
        <v>Poste 1412</v>
      </c>
      <c r="H300">
        <v>151.66999999999999</v>
      </c>
    </row>
    <row r="301" spans="1:8" x14ac:dyDescent="0.25">
      <c r="A301">
        <v>352</v>
      </c>
      <c r="B301" t="s">
        <v>165</v>
      </c>
      <c r="C301">
        <v>2023</v>
      </c>
      <c r="F301" s="13">
        <v>1010</v>
      </c>
      <c r="G301" t="s">
        <v>222</v>
      </c>
      <c r="H301">
        <v>2</v>
      </c>
    </row>
    <row r="302" spans="1:8" x14ac:dyDescent="0.25">
      <c r="A302">
        <v>352</v>
      </c>
      <c r="B302" t="s">
        <v>165</v>
      </c>
      <c r="C302">
        <v>2023</v>
      </c>
      <c r="F302" s="13">
        <v>1009</v>
      </c>
      <c r="G302" t="str">
        <f>VLOOKUP(F302,'Liste Formations'!$A$5:$B$182,2,FALSE)</f>
        <v>Défibrillateur</v>
      </c>
      <c r="H302">
        <v>2</v>
      </c>
    </row>
    <row r="303" spans="1:8" x14ac:dyDescent="0.25">
      <c r="A303">
        <v>352</v>
      </c>
      <c r="B303" t="s">
        <v>165</v>
      </c>
      <c r="C303">
        <v>2023</v>
      </c>
      <c r="F303" s="13">
        <v>1003</v>
      </c>
      <c r="G303" t="str">
        <f>VLOOKUP(F303,'Liste Formations'!$A$5:$B$182,2,FALSE)</f>
        <v>Conduite Chariots Cat.5</v>
      </c>
      <c r="H303">
        <v>4</v>
      </c>
    </row>
    <row r="304" spans="1:8" x14ac:dyDescent="0.25">
      <c r="A304">
        <v>352</v>
      </c>
      <c r="B304" t="s">
        <v>165</v>
      </c>
      <c r="C304">
        <v>2023</v>
      </c>
      <c r="F304" s="13">
        <v>1004</v>
      </c>
      <c r="G304" t="str">
        <f>VLOOKUP(F304,'Liste Formations'!$A$5:$B$182,2,FALSE)</f>
        <v>Conduite Chariots Cat.3</v>
      </c>
      <c r="H304">
        <v>7</v>
      </c>
    </row>
    <row r="305" spans="1:9" x14ac:dyDescent="0.25">
      <c r="A305">
        <v>352</v>
      </c>
      <c r="B305" t="s">
        <v>165</v>
      </c>
      <c r="C305">
        <v>2024</v>
      </c>
      <c r="F305" s="13">
        <v>1006</v>
      </c>
      <c r="G305" t="str">
        <f>VLOOKUP(F305,'Liste Formations'!$A$5:$B$182,2,FALSE)</f>
        <v>Habilitation électrique BE Manœuvre BS</v>
      </c>
      <c r="H305">
        <v>14</v>
      </c>
    </row>
    <row r="306" spans="1:9" x14ac:dyDescent="0.25">
      <c r="A306">
        <v>352</v>
      </c>
      <c r="B306" t="s">
        <v>165</v>
      </c>
      <c r="C306">
        <v>2024</v>
      </c>
      <c r="F306" s="13">
        <v>1009</v>
      </c>
      <c r="G306" t="str">
        <f>VLOOKUP(F306,'Liste Formations'!$A$5:$B$182,2,FALSE)</f>
        <v>Défibrillateur</v>
      </c>
      <c r="H306">
        <v>2</v>
      </c>
    </row>
    <row r="307" spans="1:9" x14ac:dyDescent="0.25">
      <c r="A307">
        <v>352</v>
      </c>
      <c r="B307" t="s">
        <v>165</v>
      </c>
      <c r="C307">
        <v>2024</v>
      </c>
      <c r="F307" s="13">
        <v>1010</v>
      </c>
      <c r="G307" t="str">
        <f>VLOOKUP(F307,'Liste Formations'!$A$5:$B$182,2,FALSE)</f>
        <v>Incendie</v>
      </c>
      <c r="H307">
        <v>2</v>
      </c>
    </row>
    <row r="308" spans="1:9" x14ac:dyDescent="0.25">
      <c r="A308">
        <v>352</v>
      </c>
      <c r="B308" t="s">
        <v>165</v>
      </c>
      <c r="C308">
        <v>2024</v>
      </c>
      <c r="F308" s="13">
        <v>1020</v>
      </c>
      <c r="G308" t="str">
        <f>VLOOKUP(F308,'Liste Formations'!$A$5:$B$182,2,FALSE)</f>
        <v>Prévention TMS - Gestes Postures et Nutrition</v>
      </c>
      <c r="H308">
        <v>3.5</v>
      </c>
    </row>
    <row r="309" spans="1:9" x14ac:dyDescent="0.25">
      <c r="A309">
        <v>352</v>
      </c>
      <c r="B309" t="s">
        <v>165</v>
      </c>
      <c r="C309">
        <v>2024</v>
      </c>
      <c r="F309" s="13">
        <v>1032</v>
      </c>
      <c r="G309" t="str">
        <f>VLOOKUP(F309,'Liste Formations'!$A$5:$B$182,2,FALSE)</f>
        <v>Sensibilisation RPS Risques Psychosociaux</v>
      </c>
      <c r="H309">
        <v>2</v>
      </c>
    </row>
    <row r="310" spans="1:9" x14ac:dyDescent="0.25">
      <c r="A310">
        <v>352</v>
      </c>
      <c r="B310" t="s">
        <v>165</v>
      </c>
      <c r="C310">
        <v>2024</v>
      </c>
      <c r="F310" s="13">
        <v>3013</v>
      </c>
      <c r="G310" t="str">
        <f>VLOOKUP(F310,'Liste Formations'!$A$5:$B$182,2,FALSE)</f>
        <v>Poste 901</v>
      </c>
      <c r="H310">
        <v>140</v>
      </c>
    </row>
    <row r="311" spans="1:9" x14ac:dyDescent="0.25">
      <c r="A311">
        <v>352</v>
      </c>
      <c r="B311" t="s">
        <v>165</v>
      </c>
      <c r="C311">
        <v>2024</v>
      </c>
      <c r="F311" s="13">
        <v>1033</v>
      </c>
      <c r="G311" t="str">
        <f>VLOOKUP(F311,'Liste Formations'!$A$5:$B$182,2,FALSE)</f>
        <v>Sensibilisation aux addictions</v>
      </c>
      <c r="H311">
        <v>1.5</v>
      </c>
    </row>
    <row r="312" spans="1:9" x14ac:dyDescent="0.25">
      <c r="A312">
        <v>352</v>
      </c>
      <c r="B312" t="s">
        <v>165</v>
      </c>
      <c r="C312">
        <v>2025</v>
      </c>
      <c r="D312" s="18">
        <v>45755</v>
      </c>
      <c r="E312" s="18">
        <v>45755</v>
      </c>
      <c r="F312" s="13">
        <v>2031</v>
      </c>
      <c r="G312" s="15" t="s">
        <v>180</v>
      </c>
      <c r="H312" s="75">
        <v>2.5</v>
      </c>
      <c r="I312" t="s">
        <v>304</v>
      </c>
    </row>
    <row r="313" spans="1:9" x14ac:dyDescent="0.25">
      <c r="D313" s="18"/>
      <c r="E313" s="18"/>
      <c r="G313" s="15"/>
    </row>
    <row r="314" spans="1:9" x14ac:dyDescent="0.25">
      <c r="D314" s="18"/>
      <c r="E314" s="18"/>
      <c r="G314" s="15"/>
    </row>
    <row r="315" spans="1:9" x14ac:dyDescent="0.25">
      <c r="A315">
        <v>46</v>
      </c>
      <c r="B315" t="s">
        <v>72</v>
      </c>
      <c r="C315">
        <v>2010</v>
      </c>
      <c r="F315" s="13">
        <v>3039</v>
      </c>
      <c r="G315" t="str">
        <f>VLOOKUP(F315,'Liste Formations'!$A$5:$B$182,2,FALSE)</f>
        <v>Poste 1402</v>
      </c>
      <c r="H315">
        <v>151.66999999999999</v>
      </c>
    </row>
    <row r="316" spans="1:9" x14ac:dyDescent="0.25">
      <c r="A316">
        <v>46</v>
      </c>
      <c r="B316" t="s">
        <v>72</v>
      </c>
      <c r="C316">
        <v>2011</v>
      </c>
      <c r="F316" s="13">
        <v>3038</v>
      </c>
      <c r="G316" t="str">
        <f>VLOOKUP(F316,'Liste Formations'!$A$5:$B$182,2,FALSE)</f>
        <v>Poste 1401</v>
      </c>
      <c r="H316">
        <v>151.66999999999999</v>
      </c>
    </row>
    <row r="317" spans="1:9" x14ac:dyDescent="0.25">
      <c r="A317">
        <v>46</v>
      </c>
      <c r="B317" t="s">
        <v>72</v>
      </c>
      <c r="C317">
        <v>2011</v>
      </c>
      <c r="F317" s="13">
        <v>3039</v>
      </c>
      <c r="G317" t="str">
        <f>VLOOKUP(F317,'Liste Formations'!$A$5:$B$182,2,FALSE)</f>
        <v>Poste 1402</v>
      </c>
      <c r="H317">
        <v>151.66999999999999</v>
      </c>
    </row>
    <row r="318" spans="1:9" x14ac:dyDescent="0.25">
      <c r="A318">
        <v>46</v>
      </c>
      <c r="B318" t="s">
        <v>72</v>
      </c>
      <c r="C318">
        <v>2011</v>
      </c>
      <c r="F318" s="13">
        <v>3040</v>
      </c>
      <c r="G318" t="str">
        <f>VLOOKUP(F318,'Liste Formations'!$A$5:$B$182,2,FALSE)</f>
        <v>Poste 1404</v>
      </c>
      <c r="H318">
        <v>151.66999999999999</v>
      </c>
    </row>
    <row r="319" spans="1:9" x14ac:dyDescent="0.25">
      <c r="A319">
        <v>46</v>
      </c>
      <c r="B319" t="s">
        <v>72</v>
      </c>
      <c r="C319">
        <v>2011</v>
      </c>
      <c r="F319" s="13">
        <v>3041</v>
      </c>
      <c r="G319" t="str">
        <f>VLOOKUP(F319,'Liste Formations'!$A$5:$B$182,2,FALSE)</f>
        <v>Poste 1405</v>
      </c>
      <c r="H319">
        <v>151.66999999999999</v>
      </c>
    </row>
    <row r="320" spans="1:9" x14ac:dyDescent="0.25">
      <c r="A320">
        <v>46</v>
      </c>
      <c r="B320" t="s">
        <v>72</v>
      </c>
      <c r="C320">
        <v>2011</v>
      </c>
      <c r="F320" s="13">
        <v>3043</v>
      </c>
      <c r="G320" t="str">
        <f>VLOOKUP(F320,'Liste Formations'!$A$5:$B$182,2,FALSE)</f>
        <v>Poste 1412</v>
      </c>
      <c r="H320">
        <v>151.66999999999999</v>
      </c>
    </row>
    <row r="321" spans="1:8" x14ac:dyDescent="0.25">
      <c r="A321">
        <v>46</v>
      </c>
      <c r="B321" t="s">
        <v>72</v>
      </c>
      <c r="C321">
        <v>2011</v>
      </c>
      <c r="F321" s="13">
        <v>2001</v>
      </c>
      <c r="G321" t="str">
        <f>VLOOKUP(F321,'Liste Formations'!$A$5:$B$182,2,FALSE)</f>
        <v>IFOCA le mélangeage</v>
      </c>
      <c r="H321">
        <v>42</v>
      </c>
    </row>
    <row r="322" spans="1:8" x14ac:dyDescent="0.25">
      <c r="A322">
        <v>46</v>
      </c>
      <c r="B322" t="s">
        <v>72</v>
      </c>
      <c r="C322">
        <v>2012</v>
      </c>
      <c r="F322" s="13">
        <v>1003</v>
      </c>
      <c r="G322" t="str">
        <f>VLOOKUP(F322,'Liste Formations'!$A$5:$B$182,2,FALSE)</f>
        <v>Conduite Chariots Cat.5</v>
      </c>
      <c r="H322">
        <v>7</v>
      </c>
    </row>
    <row r="323" spans="1:8" x14ac:dyDescent="0.25">
      <c r="A323">
        <v>46</v>
      </c>
      <c r="B323" t="s">
        <v>72</v>
      </c>
      <c r="C323">
        <v>2012</v>
      </c>
      <c r="F323" s="13">
        <v>1006</v>
      </c>
      <c r="G323" t="str">
        <f>VLOOKUP(F323,'Liste Formations'!$A$5:$B$182,2,FALSE)</f>
        <v>Habilitation électrique BE Manœuvre BS</v>
      </c>
      <c r="H323">
        <v>14</v>
      </c>
    </row>
    <row r="324" spans="1:8" x14ac:dyDescent="0.25">
      <c r="A324">
        <v>46</v>
      </c>
      <c r="B324" t="s">
        <v>72</v>
      </c>
      <c r="C324">
        <v>2013</v>
      </c>
      <c r="F324" s="13">
        <v>3038</v>
      </c>
      <c r="G324" t="str">
        <f>VLOOKUP(F324,'Liste Formations'!$A$5:$B$182,2,FALSE)</f>
        <v>Poste 1401</v>
      </c>
      <c r="H324">
        <v>151.66999999999999</v>
      </c>
    </row>
    <row r="325" spans="1:8" x14ac:dyDescent="0.25">
      <c r="A325">
        <v>46</v>
      </c>
      <c r="B325" t="s">
        <v>72</v>
      </c>
      <c r="C325">
        <v>2013</v>
      </c>
      <c r="F325" s="13">
        <v>3039</v>
      </c>
      <c r="G325" t="str">
        <f>VLOOKUP(F325,'Liste Formations'!$A$5:$B$182,2,FALSE)</f>
        <v>Poste 1402</v>
      </c>
      <c r="H325">
        <v>151.66999999999999</v>
      </c>
    </row>
    <row r="326" spans="1:8" x14ac:dyDescent="0.25">
      <c r="A326">
        <v>46</v>
      </c>
      <c r="B326" t="s">
        <v>72</v>
      </c>
      <c r="C326">
        <v>2013</v>
      </c>
      <c r="F326" s="13">
        <v>3040</v>
      </c>
      <c r="G326" t="str">
        <f>VLOOKUP(F326,'Liste Formations'!$A$5:$B$182,2,FALSE)</f>
        <v>Poste 1404</v>
      </c>
      <c r="H326">
        <v>151.66999999999999</v>
      </c>
    </row>
    <row r="327" spans="1:8" x14ac:dyDescent="0.25">
      <c r="A327">
        <v>46</v>
      </c>
      <c r="B327" t="s">
        <v>72</v>
      </c>
      <c r="C327">
        <v>2013</v>
      </c>
      <c r="F327" s="13">
        <v>3041</v>
      </c>
      <c r="G327" t="str">
        <f>VLOOKUP(F327,'Liste Formations'!$A$5:$B$182,2,FALSE)</f>
        <v>Poste 1405</v>
      </c>
      <c r="H327">
        <v>151.66999999999999</v>
      </c>
    </row>
    <row r="328" spans="1:8" x14ac:dyDescent="0.25">
      <c r="A328">
        <v>46</v>
      </c>
      <c r="B328" t="s">
        <v>72</v>
      </c>
      <c r="C328">
        <v>2013</v>
      </c>
      <c r="F328" s="13">
        <v>3043</v>
      </c>
      <c r="G328" t="str">
        <f>VLOOKUP(F328,'Liste Formations'!$A$5:$B$182,2,FALSE)</f>
        <v>Poste 1412</v>
      </c>
      <c r="H328">
        <v>151.66999999999999</v>
      </c>
    </row>
    <row r="329" spans="1:8" x14ac:dyDescent="0.25">
      <c r="A329">
        <v>46</v>
      </c>
      <c r="B329" t="s">
        <v>72</v>
      </c>
      <c r="C329">
        <v>2014</v>
      </c>
      <c r="F329" s="13">
        <v>3040</v>
      </c>
      <c r="G329" t="str">
        <f>VLOOKUP(F329,'Liste Formations'!$A$5:$B$182,2,FALSE)</f>
        <v>Poste 1404</v>
      </c>
      <c r="H329">
        <v>151.66999999999999</v>
      </c>
    </row>
    <row r="330" spans="1:8" x14ac:dyDescent="0.25">
      <c r="A330">
        <v>46</v>
      </c>
      <c r="B330" t="s">
        <v>72</v>
      </c>
      <c r="C330">
        <v>2015</v>
      </c>
      <c r="F330" s="13">
        <v>3038</v>
      </c>
      <c r="G330" t="str">
        <f>VLOOKUP(F330,'Liste Formations'!$A$5:$B$182,2,FALSE)</f>
        <v>Poste 1401</v>
      </c>
      <c r="H330">
        <v>151.66999999999999</v>
      </c>
    </row>
    <row r="331" spans="1:8" x14ac:dyDescent="0.25">
      <c r="A331">
        <v>46</v>
      </c>
      <c r="B331" t="s">
        <v>72</v>
      </c>
      <c r="C331">
        <v>2015</v>
      </c>
      <c r="F331" s="13">
        <v>3039</v>
      </c>
      <c r="G331" t="str">
        <f>VLOOKUP(F331,'Liste Formations'!$A$5:$B$182,2,FALSE)</f>
        <v>Poste 1402</v>
      </c>
      <c r="H331">
        <v>151.66999999999999</v>
      </c>
    </row>
    <row r="332" spans="1:8" x14ac:dyDescent="0.25">
      <c r="A332">
        <v>46</v>
      </c>
      <c r="B332" t="s">
        <v>72</v>
      </c>
      <c r="C332">
        <v>2015</v>
      </c>
      <c r="F332" s="13">
        <v>3040</v>
      </c>
      <c r="G332" t="str">
        <f>VLOOKUP(F332,'Liste Formations'!$A$5:$B$182,2,FALSE)</f>
        <v>Poste 1404</v>
      </c>
      <c r="H332">
        <v>151.66999999999999</v>
      </c>
    </row>
    <row r="333" spans="1:8" x14ac:dyDescent="0.25">
      <c r="A333">
        <v>46</v>
      </c>
      <c r="B333" t="s">
        <v>72</v>
      </c>
      <c r="C333">
        <v>2015</v>
      </c>
      <c r="F333" s="13">
        <v>3041</v>
      </c>
      <c r="G333" t="str">
        <f>VLOOKUP(F333,'Liste Formations'!$A$5:$B$182,2,FALSE)</f>
        <v>Poste 1405</v>
      </c>
      <c r="H333">
        <v>151.66999999999999</v>
      </c>
    </row>
    <row r="334" spans="1:8" x14ac:dyDescent="0.25">
      <c r="A334">
        <v>46</v>
      </c>
      <c r="B334" t="s">
        <v>72</v>
      </c>
      <c r="C334">
        <v>2015</v>
      </c>
      <c r="F334" s="13">
        <v>3043</v>
      </c>
      <c r="G334" t="str">
        <f>VLOOKUP(F334,'Liste Formations'!$A$5:$B$182,2,FALSE)</f>
        <v>Poste 1412</v>
      </c>
      <c r="H334">
        <v>151.66999999999999</v>
      </c>
    </row>
    <row r="335" spans="1:8" x14ac:dyDescent="0.25">
      <c r="A335">
        <v>46</v>
      </c>
      <c r="B335" t="s">
        <v>72</v>
      </c>
      <c r="C335">
        <v>2016</v>
      </c>
      <c r="F335" s="13">
        <v>2007</v>
      </c>
      <c r="G335" t="str">
        <f>VLOOKUP(F335,'Liste Formations'!$A$5:$B$182,2,FALSE)</f>
        <v>ERP DIVALTO</v>
      </c>
      <c r="H335">
        <v>7</v>
      </c>
    </row>
    <row r="336" spans="1:8" x14ac:dyDescent="0.25">
      <c r="A336">
        <v>46</v>
      </c>
      <c r="B336" t="s">
        <v>72</v>
      </c>
      <c r="C336">
        <v>2017</v>
      </c>
      <c r="F336" s="13">
        <v>1009</v>
      </c>
      <c r="G336" t="str">
        <f>VLOOKUP(F336,'Liste Formations'!$A$5:$B$182,2,FALSE)</f>
        <v>Défibrillateur</v>
      </c>
      <c r="H336">
        <v>2</v>
      </c>
    </row>
    <row r="337" spans="1:8" x14ac:dyDescent="0.25">
      <c r="A337">
        <v>46</v>
      </c>
      <c r="B337" t="s">
        <v>72</v>
      </c>
      <c r="C337">
        <v>2017</v>
      </c>
      <c r="F337" s="13">
        <v>2007</v>
      </c>
      <c r="G337" t="str">
        <f>VLOOKUP(F337,'Liste Formations'!$A$5:$B$182,2,FALSE)</f>
        <v>ERP DIVALTO</v>
      </c>
      <c r="H337">
        <v>2.5</v>
      </c>
    </row>
    <row r="338" spans="1:8" x14ac:dyDescent="0.25">
      <c r="A338">
        <v>46</v>
      </c>
      <c r="B338" t="s">
        <v>72</v>
      </c>
      <c r="C338">
        <v>2017</v>
      </c>
      <c r="F338" s="13">
        <v>3038</v>
      </c>
      <c r="G338" t="str">
        <f>VLOOKUP(F338,'Liste Formations'!$A$5:$B$182,2,FALSE)</f>
        <v>Poste 1401</v>
      </c>
      <c r="H338">
        <v>151.66999999999999</v>
      </c>
    </row>
    <row r="339" spans="1:8" x14ac:dyDescent="0.25">
      <c r="A339">
        <v>46</v>
      </c>
      <c r="B339" t="s">
        <v>72</v>
      </c>
      <c r="C339">
        <v>2017</v>
      </c>
      <c r="F339" s="13">
        <v>3039</v>
      </c>
      <c r="G339" t="str">
        <f>VLOOKUP(F339,'Liste Formations'!$A$5:$B$182,2,FALSE)</f>
        <v>Poste 1402</v>
      </c>
      <c r="H339">
        <v>151.66999999999999</v>
      </c>
    </row>
    <row r="340" spans="1:8" x14ac:dyDescent="0.25">
      <c r="A340">
        <v>46</v>
      </c>
      <c r="B340" t="s">
        <v>72</v>
      </c>
      <c r="C340">
        <v>2017</v>
      </c>
      <c r="F340" s="13">
        <v>3040</v>
      </c>
      <c r="G340" t="str">
        <f>VLOOKUP(F340,'Liste Formations'!$A$5:$B$182,2,FALSE)</f>
        <v>Poste 1404</v>
      </c>
      <c r="H340">
        <v>151.66999999999999</v>
      </c>
    </row>
    <row r="341" spans="1:8" x14ac:dyDescent="0.25">
      <c r="A341">
        <v>46</v>
      </c>
      <c r="B341" t="s">
        <v>72</v>
      </c>
      <c r="C341">
        <v>2017</v>
      </c>
      <c r="F341" s="13">
        <v>3041</v>
      </c>
      <c r="G341" t="str">
        <f>VLOOKUP(F341,'Liste Formations'!$A$5:$B$182,2,FALSE)</f>
        <v>Poste 1405</v>
      </c>
      <c r="H341">
        <v>151.66999999999999</v>
      </c>
    </row>
    <row r="342" spans="1:8" x14ac:dyDescent="0.25">
      <c r="A342">
        <v>46</v>
      </c>
      <c r="B342" t="s">
        <v>72</v>
      </c>
      <c r="C342">
        <v>2017</v>
      </c>
      <c r="F342" s="13">
        <v>3043</v>
      </c>
      <c r="G342" t="str">
        <f>VLOOKUP(F342,'Liste Formations'!$A$5:$B$182,2,FALSE)</f>
        <v>Poste 1412</v>
      </c>
      <c r="H342">
        <v>151.66999999999999</v>
      </c>
    </row>
    <row r="343" spans="1:8" x14ac:dyDescent="0.25">
      <c r="A343">
        <v>46</v>
      </c>
      <c r="B343" t="s">
        <v>72</v>
      </c>
      <c r="C343">
        <v>2019</v>
      </c>
      <c r="F343" s="13">
        <v>3038</v>
      </c>
      <c r="G343" t="str">
        <f>VLOOKUP(F343,'Liste Formations'!$A$5:$B$182,2,FALSE)</f>
        <v>Poste 1401</v>
      </c>
      <c r="H343">
        <v>151.66999999999999</v>
      </c>
    </row>
    <row r="344" spans="1:8" x14ac:dyDescent="0.25">
      <c r="A344">
        <v>46</v>
      </c>
      <c r="B344" t="s">
        <v>72</v>
      </c>
      <c r="C344">
        <v>2019</v>
      </c>
      <c r="F344" s="13">
        <v>3041</v>
      </c>
      <c r="G344" t="str">
        <f>VLOOKUP(F344,'Liste Formations'!$A$5:$B$182,2,FALSE)</f>
        <v>Poste 1405</v>
      </c>
      <c r="H344">
        <v>151.66999999999999</v>
      </c>
    </row>
    <row r="345" spans="1:8" x14ac:dyDescent="0.25">
      <c r="A345">
        <v>46</v>
      </c>
      <c r="B345" t="s">
        <v>72</v>
      </c>
      <c r="C345">
        <v>2019</v>
      </c>
      <c r="F345" s="13">
        <v>3043</v>
      </c>
      <c r="G345" t="str">
        <f>VLOOKUP(F345,'Liste Formations'!$A$5:$B$182,2,FALSE)</f>
        <v>Poste 1412</v>
      </c>
      <c r="H345">
        <v>151.66999999999999</v>
      </c>
    </row>
    <row r="346" spans="1:8" x14ac:dyDescent="0.25">
      <c r="A346">
        <v>46</v>
      </c>
      <c r="B346" t="s">
        <v>72</v>
      </c>
      <c r="C346">
        <v>2019</v>
      </c>
      <c r="F346" s="13">
        <v>1022</v>
      </c>
      <c r="G346" t="str">
        <f>VLOOKUP(F346,'Liste Formations'!$A$5:$B$182,2,FALSE)</f>
        <v>Sensibilisation au bruit</v>
      </c>
      <c r="H346">
        <v>0.16</v>
      </c>
    </row>
    <row r="347" spans="1:8" x14ac:dyDescent="0.25">
      <c r="A347">
        <v>46</v>
      </c>
      <c r="B347" t="s">
        <v>72</v>
      </c>
      <c r="C347">
        <v>2019</v>
      </c>
      <c r="F347" s="13">
        <v>1004</v>
      </c>
      <c r="G347" t="str">
        <f>VLOOKUP(F347,'Liste Formations'!$A$5:$B$182,2,FALSE)</f>
        <v>Conduite Chariots Cat.3</v>
      </c>
      <c r="H347">
        <v>7</v>
      </c>
    </row>
    <row r="348" spans="1:8" x14ac:dyDescent="0.25">
      <c r="A348">
        <v>46</v>
      </c>
      <c r="B348" t="s">
        <v>72</v>
      </c>
      <c r="C348">
        <v>2020</v>
      </c>
      <c r="F348" s="13">
        <v>2007</v>
      </c>
      <c r="G348" t="str">
        <f>VLOOKUP(F348,'Liste Formations'!$A$5:$B$182,2,FALSE)</f>
        <v>ERP DIVALTO</v>
      </c>
      <c r="H348">
        <v>2.5</v>
      </c>
    </row>
    <row r="349" spans="1:8" x14ac:dyDescent="0.25">
      <c r="A349">
        <v>46</v>
      </c>
      <c r="B349" t="s">
        <v>72</v>
      </c>
      <c r="C349">
        <v>2020</v>
      </c>
      <c r="F349" s="13">
        <v>3001</v>
      </c>
      <c r="G349" t="str">
        <f>VLOOKUP(F349,'Liste Formations'!$A$5:$B$182,2,FALSE)</f>
        <v>Poste 506</v>
      </c>
      <c r="H349">
        <v>151.66999999999999</v>
      </c>
    </row>
    <row r="350" spans="1:8" x14ac:dyDescent="0.25">
      <c r="A350">
        <v>46</v>
      </c>
      <c r="B350" t="s">
        <v>72</v>
      </c>
      <c r="C350">
        <v>2020</v>
      </c>
      <c r="F350" s="13">
        <v>3002</v>
      </c>
      <c r="G350" t="str">
        <f>VLOOKUP(F350,'Liste Formations'!$A$5:$B$182,2,FALSE)</f>
        <v>Poste 507</v>
      </c>
      <c r="H350">
        <v>151.66999999999999</v>
      </c>
    </row>
    <row r="351" spans="1:8" x14ac:dyDescent="0.25">
      <c r="A351">
        <v>46</v>
      </c>
      <c r="B351" t="s">
        <v>72</v>
      </c>
      <c r="C351">
        <v>2020</v>
      </c>
      <c r="F351" s="13">
        <v>3006</v>
      </c>
      <c r="G351" t="str">
        <f>VLOOKUP(F351,'Liste Formations'!$A$5:$B$182,2,FALSE)</f>
        <v>Poste 515</v>
      </c>
      <c r="H351">
        <v>151.66999999999999</v>
      </c>
    </row>
    <row r="352" spans="1:8" x14ac:dyDescent="0.25">
      <c r="A352">
        <v>46</v>
      </c>
      <c r="B352" t="s">
        <v>72</v>
      </c>
      <c r="C352">
        <v>2020</v>
      </c>
      <c r="F352" s="13">
        <v>3014</v>
      </c>
      <c r="G352" t="str">
        <f>VLOOKUP(F352,'Liste Formations'!$A$5:$B$182,2,FALSE)</f>
        <v>Poste 902</v>
      </c>
      <c r="H352">
        <v>10</v>
      </c>
    </row>
    <row r="353" spans="1:9" x14ac:dyDescent="0.25">
      <c r="A353">
        <v>46</v>
      </c>
      <c r="B353" t="s">
        <v>72</v>
      </c>
      <c r="C353">
        <v>2020</v>
      </c>
      <c r="F353" s="13">
        <v>3026</v>
      </c>
      <c r="G353" t="str">
        <f>VLOOKUP(F353,'Liste Formations'!$A$5:$B$182,2,FALSE)</f>
        <v>Poste 940</v>
      </c>
      <c r="H353">
        <v>164</v>
      </c>
    </row>
    <row r="354" spans="1:9" x14ac:dyDescent="0.25">
      <c r="A354">
        <v>46</v>
      </c>
      <c r="B354" t="s">
        <v>72</v>
      </c>
      <c r="C354">
        <v>2020</v>
      </c>
      <c r="F354" s="13">
        <v>3028</v>
      </c>
      <c r="G354" t="str">
        <f>VLOOKUP(F354,'Liste Formations'!$A$5:$B$182,2,FALSE)</f>
        <v>Poste 942</v>
      </c>
      <c r="H354">
        <v>66</v>
      </c>
    </row>
    <row r="355" spans="1:9" x14ac:dyDescent="0.25">
      <c r="A355">
        <v>46</v>
      </c>
      <c r="B355" t="s">
        <v>72</v>
      </c>
      <c r="C355">
        <v>2021</v>
      </c>
      <c r="F355" s="13">
        <v>3002</v>
      </c>
      <c r="G355" t="str">
        <f>VLOOKUP(F355,'Liste Formations'!$A$5:$B$182,2,FALSE)</f>
        <v>Poste 507</v>
      </c>
      <c r="H355">
        <v>151.66999999999999</v>
      </c>
    </row>
    <row r="356" spans="1:9" x14ac:dyDescent="0.25">
      <c r="A356">
        <v>46</v>
      </c>
      <c r="B356" t="s">
        <v>72</v>
      </c>
      <c r="C356">
        <v>2021</v>
      </c>
      <c r="F356" s="13">
        <v>3015</v>
      </c>
      <c r="G356" t="str">
        <f>VLOOKUP(F356,'Liste Formations'!$A$5:$B$182,2,FALSE)</f>
        <v>Poste 903</v>
      </c>
      <c r="H356">
        <v>151.66999999999999</v>
      </c>
    </row>
    <row r="357" spans="1:9" x14ac:dyDescent="0.25">
      <c r="A357">
        <v>46</v>
      </c>
      <c r="B357" t="s">
        <v>72</v>
      </c>
      <c r="C357">
        <v>2021</v>
      </c>
      <c r="F357" s="13">
        <v>3018</v>
      </c>
      <c r="G357" t="str">
        <f>VLOOKUP(F357,'Liste Formations'!$A$5:$B$182,2,FALSE)</f>
        <v>Poste 906</v>
      </c>
      <c r="H357">
        <v>151.66999999999999</v>
      </c>
    </row>
    <row r="358" spans="1:9" x14ac:dyDescent="0.25">
      <c r="A358">
        <v>46</v>
      </c>
      <c r="B358" t="s">
        <v>72</v>
      </c>
      <c r="C358">
        <v>2021</v>
      </c>
      <c r="F358" s="13">
        <v>3026</v>
      </c>
      <c r="G358" t="str">
        <f>VLOOKUP(F358,'Liste Formations'!$A$5:$B$182,2,FALSE)</f>
        <v>Poste 940</v>
      </c>
      <c r="H358">
        <v>151.66999999999999</v>
      </c>
    </row>
    <row r="359" spans="1:9" x14ac:dyDescent="0.25">
      <c r="A359">
        <v>46</v>
      </c>
      <c r="B359" t="s">
        <v>72</v>
      </c>
      <c r="C359">
        <v>2021</v>
      </c>
      <c r="F359" s="13">
        <v>3028</v>
      </c>
      <c r="G359" t="str">
        <f>VLOOKUP(F359,'Liste Formations'!$A$5:$B$182,2,FALSE)</f>
        <v>Poste 942</v>
      </c>
      <c r="H359">
        <v>151.66999999999999</v>
      </c>
    </row>
    <row r="360" spans="1:9" x14ac:dyDescent="0.25">
      <c r="A360">
        <v>46</v>
      </c>
      <c r="B360" t="s">
        <v>72</v>
      </c>
      <c r="C360">
        <v>2023</v>
      </c>
      <c r="F360" s="13">
        <v>3022</v>
      </c>
      <c r="G360" t="str">
        <f>VLOOKUP(F360,'Liste Formations'!$A$5:$B$182,2,FALSE)</f>
        <v>Poste 920</v>
      </c>
      <c r="H360">
        <v>151.66999999999999</v>
      </c>
    </row>
    <row r="361" spans="1:9" x14ac:dyDescent="0.25">
      <c r="A361">
        <v>46</v>
      </c>
      <c r="B361" t="s">
        <v>72</v>
      </c>
      <c r="C361">
        <v>2023</v>
      </c>
      <c r="F361" s="13">
        <v>1012</v>
      </c>
      <c r="G361" t="str">
        <f>VLOOKUP(F361,'Liste Formations'!$A$5:$B$182,2,FALSE)</f>
        <v>ATEX Niveau 0 - Sensibilisation</v>
      </c>
      <c r="H361">
        <v>3.5</v>
      </c>
    </row>
    <row r="362" spans="1:9" x14ac:dyDescent="0.25">
      <c r="A362">
        <v>46</v>
      </c>
      <c r="B362" t="s">
        <v>72</v>
      </c>
      <c r="C362">
        <v>2023</v>
      </c>
      <c r="F362" s="13">
        <v>1002</v>
      </c>
      <c r="G362" t="str">
        <f>VLOOKUP(F362,'Liste Formations'!$A$5:$B$182,2,FALSE)</f>
        <v>Conduite Chariots Cat.3 et Cat.5</v>
      </c>
      <c r="H362">
        <v>14</v>
      </c>
    </row>
    <row r="363" spans="1:9" x14ac:dyDescent="0.25">
      <c r="A363">
        <v>46</v>
      </c>
      <c r="B363" t="s">
        <v>72</v>
      </c>
      <c r="C363">
        <v>2024</v>
      </c>
      <c r="F363" s="13">
        <v>1020</v>
      </c>
      <c r="G363" t="str">
        <f>VLOOKUP(F363,'Liste Formations'!$A$5:$B$182,2,FALSE)</f>
        <v>Prévention TMS - Gestes Postures et Nutrition</v>
      </c>
      <c r="H363">
        <v>3.5</v>
      </c>
    </row>
    <row r="364" spans="1:9" x14ac:dyDescent="0.25">
      <c r="A364">
        <v>46</v>
      </c>
      <c r="B364" t="s">
        <v>72</v>
      </c>
      <c r="C364">
        <v>2024</v>
      </c>
      <c r="F364" s="13">
        <v>2031</v>
      </c>
      <c r="G364" t="str">
        <f>VLOOKUP(F364,'Liste Formations'!$A$5:$B$182,2,FALSE)</f>
        <v>Qualité</v>
      </c>
      <c r="H364">
        <v>2</v>
      </c>
    </row>
    <row r="365" spans="1:9" x14ac:dyDescent="0.25">
      <c r="A365">
        <v>46</v>
      </c>
      <c r="B365" t="s">
        <v>72</v>
      </c>
      <c r="C365">
        <v>2025</v>
      </c>
      <c r="D365" s="18">
        <v>45681</v>
      </c>
      <c r="E365" s="18">
        <v>45709</v>
      </c>
      <c r="F365" s="13">
        <v>2051</v>
      </c>
      <c r="G365" t="s">
        <v>279</v>
      </c>
      <c r="H365" s="75">
        <v>28</v>
      </c>
      <c r="I365" t="s">
        <v>280</v>
      </c>
    </row>
    <row r="366" spans="1:9" x14ac:dyDescent="0.25">
      <c r="D366" s="18"/>
      <c r="E366" s="18"/>
    </row>
    <row r="367" spans="1:9" x14ac:dyDescent="0.25">
      <c r="D367" s="18"/>
      <c r="E367" s="18"/>
    </row>
    <row r="368" spans="1:9" x14ac:dyDescent="0.25">
      <c r="A368">
        <v>10000010</v>
      </c>
      <c r="B368" t="s">
        <v>73</v>
      </c>
      <c r="C368">
        <v>2023</v>
      </c>
      <c r="F368" s="13">
        <v>3045</v>
      </c>
      <c r="G368" t="str">
        <f>VLOOKUP(F368,'Liste Formations'!$A$5:$B$182,2,FALSE)</f>
        <v xml:space="preserve">Poste de travail </v>
      </c>
      <c r="H368">
        <v>151.66999999999999</v>
      </c>
    </row>
    <row r="371" spans="1:8" x14ac:dyDescent="0.25">
      <c r="A371">
        <v>347</v>
      </c>
      <c r="B371" t="s">
        <v>74</v>
      </c>
      <c r="C371">
        <v>2015</v>
      </c>
      <c r="F371" s="13">
        <v>2031</v>
      </c>
      <c r="G371" t="str">
        <f>VLOOKUP(F371,'Liste Formations'!$A$5:$B$182,2,FALSE)</f>
        <v>Qualité</v>
      </c>
      <c r="H371">
        <v>0.25</v>
      </c>
    </row>
    <row r="372" spans="1:8" x14ac:dyDescent="0.25">
      <c r="A372">
        <v>347</v>
      </c>
      <c r="B372" t="s">
        <v>74</v>
      </c>
      <c r="C372">
        <v>2015</v>
      </c>
      <c r="F372" s="13">
        <v>3012</v>
      </c>
      <c r="G372" t="str">
        <f>VLOOKUP(F372,'Liste Formations'!$A$5:$B$182,2,FALSE)</f>
        <v>Poste 900</v>
      </c>
      <c r="H372">
        <v>151.66999999999999</v>
      </c>
    </row>
    <row r="373" spans="1:8" x14ac:dyDescent="0.25">
      <c r="A373">
        <v>347</v>
      </c>
      <c r="B373" t="s">
        <v>74</v>
      </c>
      <c r="C373">
        <v>2015</v>
      </c>
      <c r="F373" s="13">
        <v>3043</v>
      </c>
      <c r="G373" t="str">
        <f>VLOOKUP(F373,'Liste Formations'!$A$5:$B$182,2,FALSE)</f>
        <v>Poste 1412</v>
      </c>
      <c r="H373">
        <v>151.66999999999999</v>
      </c>
    </row>
    <row r="374" spans="1:8" x14ac:dyDescent="0.25">
      <c r="A374">
        <v>347</v>
      </c>
      <c r="B374" t="s">
        <v>74</v>
      </c>
      <c r="C374">
        <v>2015</v>
      </c>
      <c r="F374" s="13">
        <v>1004</v>
      </c>
      <c r="G374" t="str">
        <f>VLOOKUP(F374,'Liste Formations'!$A$5:$B$182,2,FALSE)</f>
        <v>Conduite Chariots Cat.3</v>
      </c>
      <c r="H374">
        <v>7</v>
      </c>
    </row>
    <row r="375" spans="1:8" x14ac:dyDescent="0.25">
      <c r="A375">
        <v>347</v>
      </c>
      <c r="B375" t="s">
        <v>74</v>
      </c>
      <c r="C375">
        <v>2017</v>
      </c>
      <c r="F375" s="13">
        <v>3012</v>
      </c>
      <c r="G375" t="str">
        <f>VLOOKUP(F375,'Liste Formations'!$A$5:$B$182,2,FALSE)</f>
        <v>Poste 900</v>
      </c>
      <c r="H375">
        <v>151.66999999999999</v>
      </c>
    </row>
    <row r="376" spans="1:8" x14ac:dyDescent="0.25">
      <c r="A376">
        <v>347</v>
      </c>
      <c r="B376" t="s">
        <v>74</v>
      </c>
      <c r="C376">
        <v>2017</v>
      </c>
      <c r="F376" s="13">
        <v>3043</v>
      </c>
      <c r="G376" t="str">
        <f>VLOOKUP(F376,'Liste Formations'!$A$5:$B$182,2,FALSE)</f>
        <v>Poste 1412</v>
      </c>
      <c r="H376">
        <v>151.66999999999999</v>
      </c>
    </row>
    <row r="377" spans="1:8" x14ac:dyDescent="0.25">
      <c r="A377">
        <v>347</v>
      </c>
      <c r="B377" t="s">
        <v>74</v>
      </c>
      <c r="C377">
        <v>2017</v>
      </c>
      <c r="F377" s="13">
        <v>2007</v>
      </c>
      <c r="G377" t="str">
        <f>VLOOKUP(F377,'Liste Formations'!$A$5:$B$182,2,FALSE)</f>
        <v>ERP DIVALTO</v>
      </c>
      <c r="H377">
        <v>2</v>
      </c>
    </row>
    <row r="378" spans="1:8" x14ac:dyDescent="0.25">
      <c r="A378">
        <v>347</v>
      </c>
      <c r="B378" t="s">
        <v>74</v>
      </c>
      <c r="C378">
        <v>2019</v>
      </c>
      <c r="F378" s="13">
        <v>3012</v>
      </c>
      <c r="G378" t="str">
        <f>VLOOKUP(F378,'Liste Formations'!$A$5:$B$182,2,FALSE)</f>
        <v>Poste 900</v>
      </c>
      <c r="H378">
        <v>151.66999999999999</v>
      </c>
    </row>
    <row r="379" spans="1:8" x14ac:dyDescent="0.25">
      <c r="A379">
        <v>347</v>
      </c>
      <c r="B379" t="s">
        <v>74</v>
      </c>
      <c r="C379">
        <v>2019</v>
      </c>
      <c r="F379" s="13">
        <v>3043</v>
      </c>
      <c r="G379" t="str">
        <f>VLOOKUP(F379,'Liste Formations'!$A$5:$B$182,2,FALSE)</f>
        <v>Poste 1412</v>
      </c>
      <c r="H379">
        <v>151.66999999999999</v>
      </c>
    </row>
    <row r="380" spans="1:8" x14ac:dyDescent="0.25">
      <c r="A380">
        <v>347</v>
      </c>
      <c r="B380" t="s">
        <v>74</v>
      </c>
      <c r="C380">
        <v>2020</v>
      </c>
      <c r="F380" s="13">
        <v>1003</v>
      </c>
      <c r="G380" t="str">
        <f>VLOOKUP(F380,'Liste Formations'!$A$5:$B$182,2,FALSE)</f>
        <v>Conduite Chariots Cat.5</v>
      </c>
      <c r="H380">
        <v>7</v>
      </c>
    </row>
    <row r="381" spans="1:8" x14ac:dyDescent="0.25">
      <c r="A381">
        <v>347</v>
      </c>
      <c r="B381" t="s">
        <v>74</v>
      </c>
      <c r="C381">
        <v>2021</v>
      </c>
      <c r="F381" s="13">
        <v>1004</v>
      </c>
      <c r="G381" t="str">
        <f>VLOOKUP(F381,'Liste Formations'!$A$5:$B$182,2,FALSE)</f>
        <v>Conduite Chariots Cat.3</v>
      </c>
      <c r="H381">
        <v>7</v>
      </c>
    </row>
    <row r="382" spans="1:8" x14ac:dyDescent="0.25">
      <c r="A382">
        <v>347</v>
      </c>
      <c r="B382" t="s">
        <v>74</v>
      </c>
      <c r="C382">
        <v>2023</v>
      </c>
      <c r="F382" s="13">
        <v>1004</v>
      </c>
      <c r="G382" t="str">
        <f>VLOOKUP(F382,'Liste Formations'!$A$5:$B$182,2,FALSE)</f>
        <v>Conduite Chariots Cat.3</v>
      </c>
      <c r="H382">
        <v>7</v>
      </c>
    </row>
    <row r="383" spans="1:8" x14ac:dyDescent="0.25">
      <c r="A383">
        <v>347</v>
      </c>
      <c r="B383" t="s">
        <v>74</v>
      </c>
      <c r="C383">
        <v>2023</v>
      </c>
      <c r="F383" s="13">
        <v>1010</v>
      </c>
      <c r="G383" t="s">
        <v>222</v>
      </c>
      <c r="H383">
        <v>2</v>
      </c>
    </row>
    <row r="384" spans="1:8" x14ac:dyDescent="0.25">
      <c r="A384">
        <v>347</v>
      </c>
      <c r="B384" t="s">
        <v>74</v>
      </c>
      <c r="C384">
        <v>2023</v>
      </c>
      <c r="F384" s="13">
        <v>1009</v>
      </c>
      <c r="G384" t="str">
        <f>VLOOKUP(F384,'Liste Formations'!$A$5:$B$182,2,FALSE)</f>
        <v>Défibrillateur</v>
      </c>
      <c r="H384">
        <v>2</v>
      </c>
    </row>
    <row r="385" spans="1:14" x14ac:dyDescent="0.25">
      <c r="A385">
        <v>347</v>
      </c>
      <c r="B385" t="s">
        <v>74</v>
      </c>
      <c r="C385">
        <v>2023</v>
      </c>
      <c r="F385" s="13">
        <v>1030</v>
      </c>
      <c r="G385" t="str">
        <f>VLOOKUP(F385,'Liste Formations'!$A$5:$B$182,2,FALSE)</f>
        <v>Utilisation PTI</v>
      </c>
      <c r="H385">
        <v>0.5</v>
      </c>
    </row>
    <row r="386" spans="1:14" x14ac:dyDescent="0.25">
      <c r="A386">
        <v>347</v>
      </c>
      <c r="B386" t="s">
        <v>74</v>
      </c>
      <c r="C386">
        <v>2024</v>
      </c>
      <c r="F386" s="13">
        <v>1012</v>
      </c>
      <c r="G386" t="str">
        <f>VLOOKUP(F386,'Liste Formations'!$A$5:$B$182,2,FALSE)</f>
        <v>ATEX Niveau 0 - Sensibilisation</v>
      </c>
      <c r="H386">
        <v>3.5</v>
      </c>
    </row>
    <row r="387" spans="1:14" x14ac:dyDescent="0.25">
      <c r="A387">
        <v>347</v>
      </c>
      <c r="B387" t="s">
        <v>74</v>
      </c>
      <c r="C387">
        <v>2024</v>
      </c>
      <c r="F387" s="13">
        <v>1020</v>
      </c>
      <c r="G387" t="str">
        <f>VLOOKUP(F387,'Liste Formations'!$A$5:$B$182,2,FALSE)</f>
        <v>Prévention TMS - Gestes Postures et Nutrition</v>
      </c>
      <c r="H387">
        <v>3.5</v>
      </c>
    </row>
    <row r="388" spans="1:14" x14ac:dyDescent="0.25">
      <c r="A388">
        <v>347</v>
      </c>
      <c r="B388" t="s">
        <v>74</v>
      </c>
      <c r="C388">
        <v>2025</v>
      </c>
      <c r="D388" s="18">
        <v>45820</v>
      </c>
      <c r="E388" s="18">
        <v>45820</v>
      </c>
      <c r="F388" s="13">
        <v>2031</v>
      </c>
      <c r="G388" s="15" t="s">
        <v>180</v>
      </c>
      <c r="H388" s="75">
        <v>1.5</v>
      </c>
      <c r="I388" t="s">
        <v>304</v>
      </c>
      <c r="K388" s="18"/>
      <c r="L388" s="18"/>
      <c r="M388" s="13"/>
      <c r="N388" s="15"/>
    </row>
    <row r="389" spans="1:14" x14ac:dyDescent="0.25">
      <c r="A389">
        <v>347</v>
      </c>
      <c r="B389" t="s">
        <v>74</v>
      </c>
      <c r="C389">
        <v>2025</v>
      </c>
      <c r="D389" s="18">
        <v>45982</v>
      </c>
      <c r="E389" s="18">
        <v>45982</v>
      </c>
      <c r="F389" s="13">
        <v>1003</v>
      </c>
      <c r="G389" t="s">
        <v>205</v>
      </c>
      <c r="H389">
        <v>7</v>
      </c>
      <c r="I389" t="s">
        <v>280</v>
      </c>
      <c r="K389" s="18"/>
      <c r="L389" s="18"/>
      <c r="M389" s="13"/>
      <c r="N389" s="15"/>
    </row>
    <row r="390" spans="1:14" x14ac:dyDescent="0.25">
      <c r="K390" s="18"/>
      <c r="L390" s="18"/>
      <c r="M390" s="13"/>
      <c r="N390" s="15"/>
    </row>
    <row r="391" spans="1:14" x14ac:dyDescent="0.25">
      <c r="A391">
        <v>462</v>
      </c>
      <c r="B391" t="s">
        <v>75</v>
      </c>
      <c r="C391">
        <v>2022</v>
      </c>
      <c r="F391" s="13">
        <v>3005</v>
      </c>
      <c r="G391" t="str">
        <f>VLOOKUP(F391,'Liste Formations'!$A$5:$B$182,2,FALSE)</f>
        <v>Poste 514</v>
      </c>
      <c r="H391">
        <v>151.66999999999999</v>
      </c>
    </row>
    <row r="392" spans="1:14" x14ac:dyDescent="0.25">
      <c r="A392">
        <v>462</v>
      </c>
      <c r="B392" t="s">
        <v>75</v>
      </c>
      <c r="C392">
        <v>2022</v>
      </c>
      <c r="F392" s="13">
        <v>3006</v>
      </c>
      <c r="G392" t="str">
        <f>VLOOKUP(F392,'Liste Formations'!$A$5:$B$182,2,FALSE)</f>
        <v>Poste 515</v>
      </c>
      <c r="H392">
        <v>151.66999999999999</v>
      </c>
    </row>
    <row r="393" spans="1:14" x14ac:dyDescent="0.25">
      <c r="A393">
        <v>462</v>
      </c>
      <c r="B393" t="s">
        <v>75</v>
      </c>
      <c r="C393">
        <v>2023</v>
      </c>
      <c r="F393" s="13">
        <v>1004</v>
      </c>
      <c r="G393" t="str">
        <f>VLOOKUP(F393,'Liste Formations'!$A$5:$B$182,2,FALSE)</f>
        <v>Conduite Chariots Cat.3</v>
      </c>
      <c r="H393">
        <v>10.5</v>
      </c>
    </row>
    <row r="394" spans="1:14" x14ac:dyDescent="0.25">
      <c r="A394">
        <v>462</v>
      </c>
      <c r="B394" t="s">
        <v>75</v>
      </c>
      <c r="C394">
        <v>2024</v>
      </c>
      <c r="F394" s="13">
        <v>1020</v>
      </c>
      <c r="G394" t="str">
        <f>VLOOKUP(F394,'Liste Formations'!$A$5:$B$182,2,FALSE)</f>
        <v>Prévention TMS - Gestes Postures et Nutrition</v>
      </c>
      <c r="H394">
        <v>3.5</v>
      </c>
    </row>
    <row r="395" spans="1:14" x14ac:dyDescent="0.25">
      <c r="A395">
        <v>462</v>
      </c>
      <c r="B395" t="s">
        <v>75</v>
      </c>
      <c r="C395">
        <v>2024</v>
      </c>
      <c r="F395" s="13">
        <v>3007</v>
      </c>
      <c r="G395" t="str">
        <f>VLOOKUP(F395,'Liste Formations'!$A$5:$B$182,2,FALSE)</f>
        <v>Poste 516</v>
      </c>
      <c r="H395">
        <v>105</v>
      </c>
    </row>
    <row r="396" spans="1:14" x14ac:dyDescent="0.25">
      <c r="A396">
        <v>462</v>
      </c>
      <c r="B396" t="s">
        <v>75</v>
      </c>
      <c r="C396">
        <v>2025</v>
      </c>
      <c r="D396" s="18">
        <v>45658</v>
      </c>
      <c r="E396" s="18">
        <v>45688</v>
      </c>
      <c r="F396" s="13">
        <v>3007</v>
      </c>
      <c r="G396" s="15" t="s">
        <v>26</v>
      </c>
      <c r="H396" s="75">
        <v>105</v>
      </c>
      <c r="I396" t="s">
        <v>308</v>
      </c>
    </row>
    <row r="397" spans="1:14" x14ac:dyDescent="0.25">
      <c r="A397">
        <v>462</v>
      </c>
      <c r="B397" t="s">
        <v>75</v>
      </c>
      <c r="C397">
        <v>2025</v>
      </c>
      <c r="D397" s="18">
        <v>45919</v>
      </c>
      <c r="E397" s="18">
        <v>45926</v>
      </c>
      <c r="F397" s="13">
        <v>1016</v>
      </c>
      <c r="G397" t="s">
        <v>207</v>
      </c>
      <c r="H397">
        <v>14</v>
      </c>
      <c r="I397" t="s">
        <v>314</v>
      </c>
    </row>
    <row r="398" spans="1:14" x14ac:dyDescent="0.25">
      <c r="D398" s="18"/>
      <c r="E398" s="18"/>
      <c r="G398" s="15"/>
    </row>
    <row r="399" spans="1:14" x14ac:dyDescent="0.25">
      <c r="D399" s="18"/>
      <c r="E399" s="18"/>
      <c r="G399" s="15"/>
    </row>
    <row r="400" spans="1:14" x14ac:dyDescent="0.25">
      <c r="A400">
        <v>467</v>
      </c>
      <c r="B400" t="s">
        <v>76</v>
      </c>
      <c r="C400">
        <v>2023</v>
      </c>
      <c r="F400" s="13">
        <v>3018</v>
      </c>
      <c r="G400" t="str">
        <f>VLOOKUP(F400,'Liste Formations'!$A$5:$B$182,2,FALSE)</f>
        <v>Poste 906</v>
      </c>
      <c r="H400">
        <v>151.66999999999999</v>
      </c>
    </row>
    <row r="401" spans="1:8" x14ac:dyDescent="0.25">
      <c r="A401">
        <v>467</v>
      </c>
      <c r="B401" t="s">
        <v>76</v>
      </c>
      <c r="C401">
        <v>2023</v>
      </c>
      <c r="F401" s="13">
        <v>3028</v>
      </c>
      <c r="G401" t="str">
        <f>VLOOKUP(F401,'Liste Formations'!$A$5:$B$182,2,FALSE)</f>
        <v>Poste 942</v>
      </c>
      <c r="H401">
        <v>151.66999999999999</v>
      </c>
    </row>
    <row r="402" spans="1:8" x14ac:dyDescent="0.25">
      <c r="A402">
        <v>467</v>
      </c>
      <c r="B402" t="s">
        <v>76</v>
      </c>
      <c r="C402">
        <v>2023</v>
      </c>
      <c r="F402" s="13">
        <v>1016</v>
      </c>
      <c r="G402" t="str">
        <f>VLOOKUP(F402,'Liste Formations'!$A$5:$B$182,2,FALSE)</f>
        <v>S.S.T. Sauveteurs Secourites du Travail</v>
      </c>
      <c r="H402">
        <v>14</v>
      </c>
    </row>
    <row r="403" spans="1:8" x14ac:dyDescent="0.25">
      <c r="A403">
        <v>467</v>
      </c>
      <c r="B403" t="s">
        <v>76</v>
      </c>
      <c r="C403">
        <v>2023</v>
      </c>
      <c r="F403" s="13">
        <v>1004</v>
      </c>
      <c r="G403" t="str">
        <f>VLOOKUP(F403,'Liste Formations'!$A$5:$B$182,2,FALSE)</f>
        <v>Conduite Chariots Cat.3</v>
      </c>
      <c r="H403">
        <v>10.5</v>
      </c>
    </row>
    <row r="404" spans="1:8" x14ac:dyDescent="0.25">
      <c r="A404">
        <v>467</v>
      </c>
      <c r="B404" t="s">
        <v>76</v>
      </c>
      <c r="C404">
        <v>2024</v>
      </c>
      <c r="F404" s="13">
        <v>3002</v>
      </c>
      <c r="G404" t="str">
        <f>VLOOKUP(F404,'Liste Formations'!$A$5:$B$182,2,FALSE)</f>
        <v>Poste 507</v>
      </c>
      <c r="H404">
        <v>6</v>
      </c>
    </row>
    <row r="405" spans="1:8" x14ac:dyDescent="0.25">
      <c r="A405">
        <v>467</v>
      </c>
      <c r="B405" t="s">
        <v>76</v>
      </c>
      <c r="C405">
        <v>2024</v>
      </c>
      <c r="F405" s="13">
        <v>3006</v>
      </c>
      <c r="G405" t="str">
        <f>VLOOKUP(F405,'Liste Formations'!$A$5:$B$182,2,FALSE)</f>
        <v>Poste 515</v>
      </c>
      <c r="H405">
        <v>70</v>
      </c>
    </row>
    <row r="406" spans="1:8" x14ac:dyDescent="0.25">
      <c r="A406">
        <v>467</v>
      </c>
      <c r="B406" t="s">
        <v>76</v>
      </c>
      <c r="C406">
        <v>2024</v>
      </c>
      <c r="F406" s="13">
        <v>3039</v>
      </c>
      <c r="G406" t="str">
        <f>VLOOKUP(F406,'Liste Formations'!$A$5:$B$182,2,FALSE)</f>
        <v>Poste 1402</v>
      </c>
      <c r="H406">
        <v>105</v>
      </c>
    </row>
    <row r="409" spans="1:8" x14ac:dyDescent="0.25">
      <c r="A409">
        <v>403</v>
      </c>
      <c r="B409" t="s">
        <v>77</v>
      </c>
      <c r="C409">
        <v>2020</v>
      </c>
      <c r="F409" s="13">
        <v>3041</v>
      </c>
      <c r="G409" t="str">
        <f>VLOOKUP(F409,'Liste Formations'!$A$5:$B$182,2,FALSE)</f>
        <v>Poste 1405</v>
      </c>
      <c r="H409">
        <v>360</v>
      </c>
    </row>
    <row r="410" spans="1:8" x14ac:dyDescent="0.25">
      <c r="A410">
        <v>403</v>
      </c>
      <c r="B410" t="s">
        <v>77</v>
      </c>
      <c r="C410">
        <v>2020</v>
      </c>
      <c r="F410" s="13">
        <v>3016</v>
      </c>
      <c r="G410" t="str">
        <f>VLOOKUP(F410,'Liste Formations'!$A$5:$B$182,2,FALSE)</f>
        <v>Poste 904</v>
      </c>
      <c r="H410">
        <v>26</v>
      </c>
    </row>
    <row r="411" spans="1:8" x14ac:dyDescent="0.25">
      <c r="A411">
        <v>403</v>
      </c>
      <c r="B411" t="s">
        <v>77</v>
      </c>
      <c r="C411">
        <v>2020</v>
      </c>
      <c r="F411" s="13">
        <v>3007</v>
      </c>
      <c r="G411" t="str">
        <f>VLOOKUP(F411,'Liste Formations'!$A$5:$B$182,2,FALSE)</f>
        <v>Poste 516</v>
      </c>
      <c r="H411">
        <v>151.66999999999999</v>
      </c>
    </row>
    <row r="412" spans="1:8" x14ac:dyDescent="0.25">
      <c r="A412">
        <v>403</v>
      </c>
      <c r="B412" t="s">
        <v>77</v>
      </c>
      <c r="C412">
        <v>2020</v>
      </c>
      <c r="F412" s="13">
        <v>1004</v>
      </c>
      <c r="G412" t="str">
        <f>VLOOKUP(F412,'Liste Formations'!$A$5:$B$182,2,FALSE)</f>
        <v>Conduite Chariots Cat.3</v>
      </c>
      <c r="H412">
        <v>7</v>
      </c>
    </row>
    <row r="413" spans="1:8" x14ac:dyDescent="0.25">
      <c r="A413">
        <v>403</v>
      </c>
      <c r="B413" t="s">
        <v>77</v>
      </c>
      <c r="C413">
        <v>2021</v>
      </c>
      <c r="F413" s="13">
        <v>3002</v>
      </c>
      <c r="G413" t="str">
        <f>VLOOKUP(F413,'Liste Formations'!$A$5:$B$182,2,FALSE)</f>
        <v>Poste 507</v>
      </c>
      <c r="H413">
        <v>151.66999999999999</v>
      </c>
    </row>
    <row r="414" spans="1:8" x14ac:dyDescent="0.25">
      <c r="A414">
        <v>403</v>
      </c>
      <c r="B414" t="s">
        <v>77</v>
      </c>
      <c r="C414">
        <v>2021</v>
      </c>
      <c r="F414" s="13">
        <v>3016</v>
      </c>
      <c r="G414" t="str">
        <f>VLOOKUP(F414,'Liste Formations'!$A$5:$B$182,2,FALSE)</f>
        <v>Poste 904</v>
      </c>
      <c r="H414">
        <v>151.66999999999999</v>
      </c>
    </row>
    <row r="415" spans="1:8" x14ac:dyDescent="0.25">
      <c r="A415">
        <v>403</v>
      </c>
      <c r="B415" t="s">
        <v>77</v>
      </c>
      <c r="C415">
        <v>2023</v>
      </c>
      <c r="F415" s="13">
        <v>3001</v>
      </c>
      <c r="G415" t="str">
        <f>VLOOKUP(F415,'Liste Formations'!$A$5:$B$182,2,FALSE)</f>
        <v>Poste 506</v>
      </c>
      <c r="H415">
        <v>151.66999999999999</v>
      </c>
    </row>
    <row r="416" spans="1:8" x14ac:dyDescent="0.25">
      <c r="A416">
        <v>403</v>
      </c>
      <c r="B416" t="s">
        <v>77</v>
      </c>
      <c r="C416">
        <v>2023</v>
      </c>
      <c r="F416" s="13">
        <v>3004</v>
      </c>
      <c r="G416" t="str">
        <f>VLOOKUP(F416,'Liste Formations'!$A$5:$B$182,2,FALSE)</f>
        <v>Poste 510</v>
      </c>
      <c r="H416">
        <v>151.66999999999999</v>
      </c>
    </row>
    <row r="417" spans="1:9" x14ac:dyDescent="0.25">
      <c r="A417">
        <v>403</v>
      </c>
      <c r="B417" t="s">
        <v>77</v>
      </c>
      <c r="C417">
        <v>2024</v>
      </c>
      <c r="F417" s="13">
        <v>3008</v>
      </c>
      <c r="G417" t="str">
        <f>VLOOKUP(F417,'Liste Formations'!$A$5:$B$182,2,FALSE)</f>
        <v>Poste 560</v>
      </c>
      <c r="H417">
        <v>35</v>
      </c>
    </row>
    <row r="418" spans="1:9" x14ac:dyDescent="0.25">
      <c r="A418">
        <v>403</v>
      </c>
      <c r="B418" t="s">
        <v>77</v>
      </c>
      <c r="C418">
        <v>2024</v>
      </c>
      <c r="F418" s="13">
        <v>3037</v>
      </c>
      <c r="G418" t="str">
        <f>VLOOKUP(F418,'Liste Formations'!$A$5:$B$182,2,FALSE)</f>
        <v>Poste 1121</v>
      </c>
      <c r="H418">
        <v>35</v>
      </c>
    </row>
    <row r="419" spans="1:9" x14ac:dyDescent="0.25">
      <c r="A419">
        <v>403</v>
      </c>
      <c r="B419" t="s">
        <v>77</v>
      </c>
      <c r="C419">
        <v>2024</v>
      </c>
      <c r="F419" s="13">
        <v>2031</v>
      </c>
      <c r="G419" t="str">
        <f>VLOOKUP(F419,'Liste Formations'!$A$5:$B$182,2,FALSE)</f>
        <v>Qualité</v>
      </c>
      <c r="H419">
        <v>2</v>
      </c>
    </row>
    <row r="420" spans="1:9" x14ac:dyDescent="0.25">
      <c r="A420">
        <v>403</v>
      </c>
      <c r="B420" t="s">
        <v>77</v>
      </c>
      <c r="C420">
        <v>2024</v>
      </c>
      <c r="F420" s="13">
        <v>1020</v>
      </c>
      <c r="G420" t="str">
        <f>VLOOKUP(F420,'Liste Formations'!$A$5:$B$182,2,FALSE)</f>
        <v>Prévention TMS - Gestes Postures et Nutrition</v>
      </c>
      <c r="H420">
        <v>3.5</v>
      </c>
    </row>
    <row r="421" spans="1:9" x14ac:dyDescent="0.25">
      <c r="A421">
        <v>403</v>
      </c>
      <c r="B421" t="s">
        <v>77</v>
      </c>
      <c r="C421">
        <v>2024</v>
      </c>
      <c r="F421" s="13">
        <v>1006</v>
      </c>
      <c r="G421" t="str">
        <f>VLOOKUP(F421,'Liste Formations'!$A$5:$B$182,2,FALSE)</f>
        <v>Habilitation électrique BE Manœuvre BS</v>
      </c>
      <c r="H421">
        <v>14</v>
      </c>
    </row>
    <row r="422" spans="1:9" x14ac:dyDescent="0.25">
      <c r="A422">
        <v>403</v>
      </c>
      <c r="B422" t="s">
        <v>77</v>
      </c>
      <c r="C422">
        <v>2024</v>
      </c>
      <c r="F422" s="13">
        <v>1033</v>
      </c>
      <c r="G422" t="str">
        <f>VLOOKUP(F422,'Liste Formations'!$A$5:$B$182,2,FALSE)</f>
        <v>Sensibilisation aux addictions</v>
      </c>
      <c r="H422">
        <v>1.5</v>
      </c>
    </row>
    <row r="423" spans="1:9" x14ac:dyDescent="0.25">
      <c r="A423">
        <v>403</v>
      </c>
      <c r="B423" t="s">
        <v>77</v>
      </c>
      <c r="C423">
        <v>2025</v>
      </c>
      <c r="D423" s="18">
        <v>45723</v>
      </c>
      <c r="E423" s="18">
        <v>45754</v>
      </c>
      <c r="F423" s="63">
        <v>3048</v>
      </c>
      <c r="G423" s="15" t="s">
        <v>277</v>
      </c>
      <c r="H423" s="75">
        <v>30</v>
      </c>
      <c r="I423" t="s">
        <v>308</v>
      </c>
    </row>
    <row r="424" spans="1:9" x14ac:dyDescent="0.25">
      <c r="A424">
        <v>403</v>
      </c>
      <c r="B424" t="s">
        <v>77</v>
      </c>
      <c r="C424">
        <v>2025</v>
      </c>
      <c r="D424" s="18">
        <v>45912</v>
      </c>
      <c r="E424" s="18">
        <v>45912</v>
      </c>
      <c r="F424" s="13">
        <v>1004</v>
      </c>
      <c r="G424" t="s">
        <v>206</v>
      </c>
      <c r="H424">
        <v>7</v>
      </c>
      <c r="I424" t="s">
        <v>314</v>
      </c>
    </row>
    <row r="425" spans="1:9" x14ac:dyDescent="0.25">
      <c r="A425">
        <v>403</v>
      </c>
      <c r="B425" t="s">
        <v>77</v>
      </c>
      <c r="C425">
        <v>2025</v>
      </c>
      <c r="D425" s="18">
        <v>45979</v>
      </c>
      <c r="E425" s="18">
        <v>45986</v>
      </c>
      <c r="F425" s="13">
        <v>3042</v>
      </c>
      <c r="G425" s="15" t="s">
        <v>52</v>
      </c>
      <c r="H425">
        <v>35</v>
      </c>
      <c r="I425" t="s">
        <v>308</v>
      </c>
    </row>
    <row r="426" spans="1:9" x14ac:dyDescent="0.25">
      <c r="A426">
        <v>403</v>
      </c>
      <c r="B426" t="s">
        <v>77</v>
      </c>
      <c r="C426">
        <v>2025</v>
      </c>
      <c r="D426" s="18">
        <v>45962</v>
      </c>
      <c r="E426" s="18">
        <v>45986</v>
      </c>
      <c r="F426" s="13">
        <v>3039</v>
      </c>
      <c r="G426" s="15" t="s">
        <v>28</v>
      </c>
      <c r="H426">
        <v>70</v>
      </c>
      <c r="I426" t="s">
        <v>308</v>
      </c>
    </row>
    <row r="427" spans="1:9" x14ac:dyDescent="0.25">
      <c r="D427" s="18"/>
      <c r="E427" s="18"/>
      <c r="F427" s="63"/>
      <c r="G427" s="15"/>
    </row>
    <row r="428" spans="1:9" x14ac:dyDescent="0.25">
      <c r="D428" s="18"/>
      <c r="E428" s="18"/>
      <c r="F428" s="63"/>
      <c r="G428" s="15"/>
    </row>
    <row r="429" spans="1:9" x14ac:dyDescent="0.25">
      <c r="A429">
        <v>278</v>
      </c>
      <c r="B429" t="s">
        <v>166</v>
      </c>
      <c r="C429">
        <v>2010</v>
      </c>
      <c r="F429" s="13">
        <v>2001</v>
      </c>
      <c r="G429" t="str">
        <f>VLOOKUP(F429,'Liste Formations'!$A$5:$B$182,2,FALSE)</f>
        <v>IFOCA le mélangeage</v>
      </c>
      <c r="H429">
        <v>35</v>
      </c>
    </row>
    <row r="430" spans="1:9" x14ac:dyDescent="0.25">
      <c r="A430">
        <v>278</v>
      </c>
      <c r="B430" t="s">
        <v>166</v>
      </c>
      <c r="C430">
        <v>2012</v>
      </c>
      <c r="F430" s="13">
        <v>2001</v>
      </c>
      <c r="G430" t="str">
        <f>VLOOKUP(F430,'Liste Formations'!$A$5:$B$182,2,FALSE)</f>
        <v>IFOCA le mélangeage</v>
      </c>
      <c r="H430">
        <v>7</v>
      </c>
    </row>
    <row r="431" spans="1:9" x14ac:dyDescent="0.25">
      <c r="A431">
        <v>278</v>
      </c>
      <c r="B431" t="s">
        <v>166</v>
      </c>
      <c r="C431">
        <v>2012</v>
      </c>
      <c r="F431" s="13">
        <v>1026</v>
      </c>
      <c r="G431" t="str">
        <f>VLOOKUP(F431,'Liste Formations'!$A$5:$B$182,2,FALSE)</f>
        <v>Exposition Produits chimiques</v>
      </c>
      <c r="H431">
        <v>7</v>
      </c>
    </row>
    <row r="432" spans="1:9" x14ac:dyDescent="0.25">
      <c r="A432">
        <v>278</v>
      </c>
      <c r="B432" t="s">
        <v>166</v>
      </c>
      <c r="C432">
        <v>2012</v>
      </c>
      <c r="F432" s="13">
        <v>1014</v>
      </c>
      <c r="G432" t="str">
        <f>VLOOKUP(F432,'Liste Formations'!$A$5:$B$182,2,FALSE)</f>
        <v>Membres CSE</v>
      </c>
      <c r="H432">
        <v>21</v>
      </c>
    </row>
    <row r="433" spans="1:8" x14ac:dyDescent="0.25">
      <c r="A433">
        <v>278</v>
      </c>
      <c r="B433" t="s">
        <v>166</v>
      </c>
      <c r="C433">
        <v>2013</v>
      </c>
      <c r="F433" s="13">
        <v>2030</v>
      </c>
      <c r="G433" t="str">
        <f>VLOOKUP(F433,'Liste Formations'!$A$5:$B$182,2,FALSE)</f>
        <v>AMDEC</v>
      </c>
      <c r="H433">
        <v>14</v>
      </c>
    </row>
    <row r="434" spans="1:8" x14ac:dyDescent="0.25">
      <c r="A434">
        <v>278</v>
      </c>
      <c r="B434" t="s">
        <v>166</v>
      </c>
      <c r="C434">
        <v>2013</v>
      </c>
      <c r="F434" s="13">
        <v>2031</v>
      </c>
      <c r="G434" t="str">
        <f>VLOOKUP(F434,'Liste Formations'!$A$5:$B$182,2,FALSE)</f>
        <v>Qualité</v>
      </c>
      <c r="H434">
        <v>1</v>
      </c>
    </row>
    <row r="435" spans="1:8" x14ac:dyDescent="0.25">
      <c r="A435">
        <v>278</v>
      </c>
      <c r="B435" t="s">
        <v>166</v>
      </c>
      <c r="C435">
        <v>2014</v>
      </c>
      <c r="F435" s="13">
        <v>2040</v>
      </c>
      <c r="G435" t="str">
        <f>VLOOKUP(F435,'Liste Formations'!$A$5:$B$182,2,FALSE)</f>
        <v xml:space="preserve">Anglais </v>
      </c>
      <c r="H435">
        <v>30</v>
      </c>
    </row>
    <row r="436" spans="1:8" x14ac:dyDescent="0.25">
      <c r="A436">
        <v>278</v>
      </c>
      <c r="B436" t="s">
        <v>166</v>
      </c>
      <c r="C436">
        <v>2014</v>
      </c>
      <c r="F436" s="13">
        <v>2001</v>
      </c>
      <c r="G436" t="str">
        <f>VLOOKUP(F436,'Liste Formations'!$A$5:$B$182,2,FALSE)</f>
        <v>IFOCA le mélangeage</v>
      </c>
      <c r="H436">
        <v>21</v>
      </c>
    </row>
    <row r="437" spans="1:8" x14ac:dyDescent="0.25">
      <c r="A437">
        <v>278</v>
      </c>
      <c r="B437" t="s">
        <v>166</v>
      </c>
      <c r="C437">
        <v>2015</v>
      </c>
      <c r="F437" s="13">
        <v>2030</v>
      </c>
      <c r="G437" t="str">
        <f>VLOOKUP(F437,'Liste Formations'!$A$5:$B$182,2,FALSE)</f>
        <v>AMDEC</v>
      </c>
      <c r="H437">
        <v>21</v>
      </c>
    </row>
    <row r="438" spans="1:8" x14ac:dyDescent="0.25">
      <c r="A438">
        <v>278</v>
      </c>
      <c r="B438" t="s">
        <v>166</v>
      </c>
      <c r="C438">
        <v>2015</v>
      </c>
      <c r="F438" s="13">
        <v>2041</v>
      </c>
      <c r="G438" t="str">
        <f>VLOOKUP(F438,'Liste Formations'!$A$5:$B$182,2,FALSE)</f>
        <v>Excel</v>
      </c>
      <c r="H438">
        <v>24</v>
      </c>
    </row>
    <row r="439" spans="1:8" x14ac:dyDescent="0.25">
      <c r="A439">
        <v>278</v>
      </c>
      <c r="B439" t="s">
        <v>166</v>
      </c>
      <c r="C439">
        <v>2016</v>
      </c>
      <c r="F439" s="13">
        <v>2007</v>
      </c>
      <c r="G439" t="str">
        <f>VLOOKUP(F439,'Liste Formations'!$A$5:$B$182,2,FALSE)</f>
        <v>ERP DIVALTO</v>
      </c>
      <c r="H439">
        <v>35</v>
      </c>
    </row>
    <row r="440" spans="1:8" x14ac:dyDescent="0.25">
      <c r="A440">
        <v>278</v>
      </c>
      <c r="B440" t="s">
        <v>166</v>
      </c>
      <c r="C440">
        <v>2017</v>
      </c>
      <c r="F440" s="13">
        <v>2007</v>
      </c>
      <c r="G440" t="str">
        <f>VLOOKUP(F440,'Liste Formations'!$A$5:$B$182,2,FALSE)</f>
        <v>ERP DIVALTO</v>
      </c>
      <c r="H440">
        <v>21</v>
      </c>
    </row>
    <row r="441" spans="1:8" x14ac:dyDescent="0.25">
      <c r="A441">
        <v>278</v>
      </c>
      <c r="B441" t="s">
        <v>166</v>
      </c>
      <c r="C441">
        <v>2018</v>
      </c>
      <c r="F441" s="13">
        <v>2010</v>
      </c>
      <c r="G441" t="str">
        <f>VLOOKUP(F441,'Liste Formations'!$A$5:$B$182,2,FALSE)</f>
        <v>Manager leader</v>
      </c>
      <c r="H441">
        <v>70</v>
      </c>
    </row>
    <row r="442" spans="1:8" x14ac:dyDescent="0.25">
      <c r="A442">
        <v>278</v>
      </c>
      <c r="B442" t="s">
        <v>166</v>
      </c>
      <c r="C442">
        <v>2018</v>
      </c>
      <c r="F442" s="13">
        <v>1020</v>
      </c>
      <c r="G442" t="str">
        <f>VLOOKUP(F442,'Liste Formations'!$A$5:$B$182,2,FALSE)</f>
        <v>Prévention TMS - Gestes Postures et Nutrition</v>
      </c>
      <c r="H442">
        <v>3.5</v>
      </c>
    </row>
    <row r="443" spans="1:8" x14ac:dyDescent="0.25">
      <c r="A443">
        <v>278</v>
      </c>
      <c r="B443" t="s">
        <v>166</v>
      </c>
      <c r="C443">
        <v>2018</v>
      </c>
      <c r="F443" s="13">
        <v>1021</v>
      </c>
      <c r="G443" t="str">
        <f>VLOOKUP(F443,'Liste Formations'!$A$5:$B$182,2,FALSE)</f>
        <v>Gestion du stress</v>
      </c>
      <c r="H443">
        <v>4</v>
      </c>
    </row>
    <row r="444" spans="1:8" x14ac:dyDescent="0.25">
      <c r="A444">
        <v>278</v>
      </c>
      <c r="B444" t="s">
        <v>166</v>
      </c>
      <c r="C444">
        <v>2019</v>
      </c>
      <c r="F444" s="13">
        <v>2007</v>
      </c>
      <c r="G444" t="str">
        <f>VLOOKUP(F444,'Liste Formations'!$A$5:$B$182,2,FALSE)</f>
        <v>ERP DIVALTO</v>
      </c>
      <c r="H444">
        <v>14</v>
      </c>
    </row>
    <row r="445" spans="1:8" x14ac:dyDescent="0.25">
      <c r="A445">
        <v>278</v>
      </c>
      <c r="B445" t="s">
        <v>166</v>
      </c>
      <c r="C445">
        <v>2019</v>
      </c>
      <c r="F445" s="13">
        <v>2021</v>
      </c>
      <c r="G445" t="str">
        <f>VLOOKUP(F445,'Liste Formations'!$A$5:$B$182,2,FALSE)</f>
        <v>ENTERPRISE / ALPHA TECHNOLOGIE</v>
      </c>
      <c r="H445">
        <v>7</v>
      </c>
    </row>
    <row r="446" spans="1:8" x14ac:dyDescent="0.25">
      <c r="A446">
        <v>278</v>
      </c>
      <c r="B446" t="s">
        <v>166</v>
      </c>
      <c r="C446">
        <v>2021</v>
      </c>
      <c r="F446" s="13">
        <v>2011</v>
      </c>
      <c r="G446" t="str">
        <f>VLOOKUP(F446,'Liste Formations'!$A$5:$B$182,2,FALSE)</f>
        <v>Stratégie et bonnes pratiques de présence pro sur Linkedin</v>
      </c>
      <c r="H446">
        <v>7</v>
      </c>
    </row>
    <row r="447" spans="1:8" x14ac:dyDescent="0.25">
      <c r="A447">
        <v>278</v>
      </c>
      <c r="B447" t="s">
        <v>166</v>
      </c>
      <c r="C447">
        <v>2022</v>
      </c>
      <c r="F447" s="13">
        <v>2010</v>
      </c>
      <c r="G447" t="str">
        <f>VLOOKUP(F447,'Liste Formations'!$A$5:$B$182,2,FALSE)</f>
        <v>Manager leader</v>
      </c>
      <c r="H447">
        <v>42</v>
      </c>
    </row>
    <row r="448" spans="1:8" x14ac:dyDescent="0.25">
      <c r="A448">
        <v>278</v>
      </c>
      <c r="B448" t="s">
        <v>166</v>
      </c>
      <c r="C448">
        <v>2024</v>
      </c>
      <c r="F448" s="13">
        <v>1032</v>
      </c>
      <c r="G448" t="str">
        <f>VLOOKUP(F448,'Liste Formations'!$A$5:$B$182,2,FALSE)</f>
        <v>Sensibilisation RPS Risques Psychosociaux</v>
      </c>
      <c r="H448">
        <v>2</v>
      </c>
    </row>
    <row r="449" spans="1:9" x14ac:dyDescent="0.25">
      <c r="A449">
        <v>278</v>
      </c>
      <c r="B449" t="s">
        <v>166</v>
      </c>
      <c r="C449">
        <v>2024</v>
      </c>
      <c r="F449" s="13">
        <v>2034</v>
      </c>
      <c r="G449" t="str">
        <f>VLOOKUP(F449,'Liste Formations'!$A$5:$B$182,2,FALSE)</f>
        <v>PSCR Représentant de la sécurité produit et de la conformité dans l'industrie automobile</v>
      </c>
      <c r="H449">
        <v>14</v>
      </c>
    </row>
    <row r="452" spans="1:9" x14ac:dyDescent="0.25">
      <c r="B452" s="76" t="s">
        <v>271</v>
      </c>
      <c r="C452">
        <v>2024</v>
      </c>
      <c r="F452" s="13">
        <v>1032</v>
      </c>
      <c r="G452" t="str">
        <f>VLOOKUP(F452,'Liste Formations'!$A$5:$B$182,2,FALSE)</f>
        <v>Sensibilisation RPS Risques Psychosociaux</v>
      </c>
      <c r="H452">
        <v>2</v>
      </c>
    </row>
    <row r="453" spans="1:9" x14ac:dyDescent="0.25">
      <c r="B453" s="76" t="s">
        <v>271</v>
      </c>
      <c r="C453">
        <v>2025</v>
      </c>
      <c r="D453" s="18">
        <v>45684</v>
      </c>
      <c r="E453" s="18">
        <v>45684</v>
      </c>
      <c r="F453" s="13">
        <v>2049</v>
      </c>
      <c r="G453" t="str">
        <f>VLOOKUP(F453,'Liste Formations'!$A$5:$B$182,2,FALSE)</f>
        <v>Revue plan d'urgence et Revue analyse PIEU</v>
      </c>
      <c r="H453" s="75">
        <v>0.5</v>
      </c>
      <c r="I453" t="s">
        <v>309</v>
      </c>
    </row>
    <row r="454" spans="1:9" x14ac:dyDescent="0.25">
      <c r="D454" s="18"/>
      <c r="E454" s="18"/>
    </row>
    <row r="455" spans="1:9" x14ac:dyDescent="0.25">
      <c r="A455">
        <v>10000042</v>
      </c>
      <c r="B455" t="s">
        <v>323</v>
      </c>
      <c r="C455">
        <v>2026</v>
      </c>
      <c r="D455" s="18">
        <v>45973</v>
      </c>
      <c r="E455" s="18">
        <v>46045</v>
      </c>
      <c r="F455" s="13">
        <v>3040</v>
      </c>
      <c r="G455" s="15" t="s">
        <v>27</v>
      </c>
      <c r="H455" s="73">
        <v>105</v>
      </c>
    </row>
    <row r="456" spans="1:9" x14ac:dyDescent="0.25">
      <c r="D456" s="18"/>
      <c r="E456" s="18"/>
    </row>
    <row r="457" spans="1:9" x14ac:dyDescent="0.25">
      <c r="D457" s="18"/>
      <c r="E457" s="18"/>
    </row>
    <row r="458" spans="1:9" x14ac:dyDescent="0.25">
      <c r="D458" s="18"/>
      <c r="E458" s="18"/>
    </row>
    <row r="459" spans="1:9" x14ac:dyDescent="0.25">
      <c r="A459">
        <v>474</v>
      </c>
      <c r="B459" t="s">
        <v>167</v>
      </c>
      <c r="C459">
        <v>2024</v>
      </c>
      <c r="F459" s="13">
        <v>2035</v>
      </c>
      <c r="G459" t="str">
        <f>VLOOKUP(F459,'Liste Formations'!$A$5:$B$182,2,FALSE)</f>
        <v>QT
QLM</v>
      </c>
      <c r="H459">
        <v>42</v>
      </c>
    </row>
    <row r="462" spans="1:9" x14ac:dyDescent="0.25">
      <c r="A462">
        <v>341</v>
      </c>
      <c r="B462" t="s">
        <v>78</v>
      </c>
      <c r="C462">
        <v>2015</v>
      </c>
      <c r="F462" s="13">
        <v>2031</v>
      </c>
      <c r="G462" t="str">
        <f>VLOOKUP(F462,'Liste Formations'!$A$5:$B$182,2,FALSE)</f>
        <v>Qualité</v>
      </c>
      <c r="H462">
        <v>0.25</v>
      </c>
    </row>
    <row r="463" spans="1:9" x14ac:dyDescent="0.25">
      <c r="A463">
        <v>341</v>
      </c>
      <c r="B463" t="s">
        <v>78</v>
      </c>
      <c r="C463">
        <v>2015</v>
      </c>
      <c r="F463" s="13">
        <v>3001</v>
      </c>
      <c r="G463" t="str">
        <f>VLOOKUP(F463,'Liste Formations'!$A$5:$B$182,2,FALSE)</f>
        <v>Poste 506</v>
      </c>
      <c r="H463">
        <v>151.66999999999999</v>
      </c>
    </row>
    <row r="464" spans="1:9" x14ac:dyDescent="0.25">
      <c r="A464">
        <v>341</v>
      </c>
      <c r="B464" t="s">
        <v>78</v>
      </c>
      <c r="C464">
        <v>2017</v>
      </c>
      <c r="F464" s="13">
        <v>3001</v>
      </c>
      <c r="G464" t="str">
        <f>VLOOKUP(F464,'Liste Formations'!$A$5:$B$182,2,FALSE)</f>
        <v>Poste 506</v>
      </c>
      <c r="H464">
        <v>151.66999999999999</v>
      </c>
    </row>
    <row r="465" spans="1:16" x14ac:dyDescent="0.25">
      <c r="A465">
        <v>341</v>
      </c>
      <c r="B465" t="s">
        <v>78</v>
      </c>
      <c r="C465">
        <v>2017</v>
      </c>
      <c r="F465" s="13">
        <v>2007</v>
      </c>
      <c r="G465" t="str">
        <f>VLOOKUP(F465,'Liste Formations'!$A$5:$B$182,2,FALSE)</f>
        <v>ERP DIVALTO</v>
      </c>
      <c r="H465">
        <v>2</v>
      </c>
    </row>
    <row r="466" spans="1:16" x14ac:dyDescent="0.25">
      <c r="A466">
        <v>341</v>
      </c>
      <c r="B466" t="s">
        <v>78</v>
      </c>
      <c r="C466">
        <v>2018</v>
      </c>
      <c r="F466" s="13">
        <v>1020</v>
      </c>
      <c r="G466" t="str">
        <f>VLOOKUP(F466,'Liste Formations'!$A$5:$B$182,2,FALSE)</f>
        <v>Prévention TMS - Gestes Postures et Nutrition</v>
      </c>
      <c r="H466">
        <v>3.5</v>
      </c>
    </row>
    <row r="467" spans="1:16" x14ac:dyDescent="0.25">
      <c r="A467">
        <v>341</v>
      </c>
      <c r="B467" t="s">
        <v>78</v>
      </c>
      <c r="C467">
        <v>2019</v>
      </c>
      <c r="F467" s="13">
        <v>1002</v>
      </c>
      <c r="G467" t="str">
        <f>VLOOKUP(F467,'Liste Formations'!$A$5:$B$182,2,FALSE)</f>
        <v>Conduite Chariots Cat.3 et Cat.5</v>
      </c>
      <c r="H467">
        <v>14</v>
      </c>
    </row>
    <row r="468" spans="1:16" x14ac:dyDescent="0.25">
      <c r="A468">
        <v>341</v>
      </c>
      <c r="B468" t="s">
        <v>78</v>
      </c>
      <c r="C468">
        <v>2019</v>
      </c>
      <c r="F468" s="13">
        <v>1016</v>
      </c>
      <c r="G468" t="str">
        <f>VLOOKUP(F468,'Liste Formations'!$A$5:$B$182,2,FALSE)</f>
        <v>S.S.T. Sauveteurs Secourites du Travail</v>
      </c>
      <c r="H468">
        <v>14</v>
      </c>
    </row>
    <row r="469" spans="1:16" x14ac:dyDescent="0.25">
      <c r="A469">
        <v>341</v>
      </c>
      <c r="B469" t="s">
        <v>78</v>
      </c>
      <c r="C469">
        <v>2019</v>
      </c>
      <c r="F469" s="13">
        <v>3001</v>
      </c>
      <c r="G469" t="str">
        <f>VLOOKUP(F469,'Liste Formations'!$A$5:$B$182,2,FALSE)</f>
        <v>Poste 506</v>
      </c>
      <c r="H469">
        <v>151.66999999999999</v>
      </c>
    </row>
    <row r="470" spans="1:16" x14ac:dyDescent="0.25">
      <c r="A470">
        <v>341</v>
      </c>
      <c r="B470" t="s">
        <v>78</v>
      </c>
      <c r="C470">
        <v>2019</v>
      </c>
      <c r="F470" s="13">
        <v>3002</v>
      </c>
      <c r="G470" t="str">
        <f>VLOOKUP(F470,'Liste Formations'!$A$5:$B$182,2,FALSE)</f>
        <v>Poste 507</v>
      </c>
      <c r="H470">
        <v>151.66999999999999</v>
      </c>
    </row>
    <row r="471" spans="1:16" x14ac:dyDescent="0.25">
      <c r="A471">
        <v>341</v>
      </c>
      <c r="B471" t="s">
        <v>78</v>
      </c>
      <c r="C471">
        <v>2019</v>
      </c>
      <c r="F471" s="13">
        <v>3023</v>
      </c>
      <c r="G471" t="str">
        <f>VLOOKUP(F471,'Liste Formations'!$A$5:$B$182,2,FALSE)</f>
        <v>Poste 923</v>
      </c>
      <c r="H471">
        <v>151.66999999999999</v>
      </c>
    </row>
    <row r="472" spans="1:16" x14ac:dyDescent="0.25">
      <c r="A472">
        <v>341</v>
      </c>
      <c r="B472" t="s">
        <v>78</v>
      </c>
      <c r="C472">
        <v>2020</v>
      </c>
      <c r="F472" s="13">
        <v>3013</v>
      </c>
      <c r="G472" t="str">
        <f>VLOOKUP(F472,'Liste Formations'!$A$5:$B$182,2,FALSE)</f>
        <v>Poste 901</v>
      </c>
      <c r="H472">
        <v>120</v>
      </c>
    </row>
    <row r="473" spans="1:16" x14ac:dyDescent="0.25">
      <c r="A473">
        <v>341</v>
      </c>
      <c r="B473" t="s">
        <v>78</v>
      </c>
      <c r="C473">
        <v>2021</v>
      </c>
      <c r="F473" s="13">
        <v>3001</v>
      </c>
      <c r="G473" t="str">
        <f>VLOOKUP(F473,'Liste Formations'!$A$5:$B$182,2,FALSE)</f>
        <v>Poste 506</v>
      </c>
      <c r="H473">
        <v>151.66999999999999</v>
      </c>
    </row>
    <row r="474" spans="1:16" x14ac:dyDescent="0.25">
      <c r="A474">
        <v>341</v>
      </c>
      <c r="B474" t="s">
        <v>78</v>
      </c>
      <c r="C474">
        <v>2021</v>
      </c>
      <c r="F474" s="13">
        <v>1017</v>
      </c>
      <c r="G474" t="str">
        <f>VLOOKUP(F474,'Liste Formations'!$A$5:$B$182,2,FALSE)</f>
        <v>R. S.S.T. Recyclage Sauveteurs Secourites du Travail</v>
      </c>
      <c r="H474">
        <v>7</v>
      </c>
    </row>
    <row r="475" spans="1:16" x14ac:dyDescent="0.25">
      <c r="A475">
        <v>341</v>
      </c>
      <c r="B475" t="s">
        <v>78</v>
      </c>
      <c r="C475">
        <v>2023</v>
      </c>
      <c r="F475" s="13">
        <v>1017</v>
      </c>
      <c r="G475" t="str">
        <f>VLOOKUP(F475,'Liste Formations'!$A$5:$B$182,2,FALSE)</f>
        <v>R. S.S.T. Recyclage Sauveteurs Secourites du Travail</v>
      </c>
      <c r="H475">
        <v>7</v>
      </c>
    </row>
    <row r="476" spans="1:16" x14ac:dyDescent="0.25">
      <c r="A476">
        <v>341</v>
      </c>
      <c r="B476" t="s">
        <v>78</v>
      </c>
      <c r="C476">
        <v>2024</v>
      </c>
      <c r="F476" s="13">
        <v>1002</v>
      </c>
      <c r="G476" t="str">
        <f>VLOOKUP(F476,'Liste Formations'!$A$5:$B$182,2,FALSE)</f>
        <v>Conduite Chariots Cat.3 et Cat.5</v>
      </c>
      <c r="H476">
        <v>14</v>
      </c>
    </row>
    <row r="477" spans="1:16" x14ac:dyDescent="0.25">
      <c r="A477">
        <v>341</v>
      </c>
      <c r="B477" t="s">
        <v>78</v>
      </c>
      <c r="C477">
        <v>2024</v>
      </c>
      <c r="D477" s="18">
        <v>45630</v>
      </c>
      <c r="E477" s="18">
        <v>45631</v>
      </c>
      <c r="F477" s="13">
        <v>1006</v>
      </c>
      <c r="G477" t="str">
        <f>VLOOKUP(F477,'Liste Formations'!$A$5:$B$182,2,FALSE)</f>
        <v>Habilitation électrique BE Manœuvre BS</v>
      </c>
      <c r="H477">
        <v>14</v>
      </c>
    </row>
    <row r="478" spans="1:16" x14ac:dyDescent="0.25">
      <c r="A478">
        <v>341</v>
      </c>
      <c r="B478" t="s">
        <v>78</v>
      </c>
      <c r="C478">
        <v>2025</v>
      </c>
      <c r="D478" s="18">
        <v>45730</v>
      </c>
      <c r="E478" s="18">
        <v>45730</v>
      </c>
      <c r="F478" s="13">
        <v>1017</v>
      </c>
      <c r="G478" t="str">
        <f>VLOOKUP(F478,'Liste Formations'!$A$5:$B$182,2,FALSE)</f>
        <v>R. S.S.T. Recyclage Sauveteurs Secourites du Travail</v>
      </c>
      <c r="H478" s="75">
        <v>7</v>
      </c>
      <c r="I478" t="s">
        <v>280</v>
      </c>
    </row>
    <row r="479" spans="1:16" x14ac:dyDescent="0.25">
      <c r="A479">
        <v>341</v>
      </c>
      <c r="B479" t="s">
        <v>78</v>
      </c>
      <c r="C479">
        <v>2025</v>
      </c>
      <c r="D479" s="18">
        <v>45814</v>
      </c>
      <c r="E479" s="18">
        <v>45814</v>
      </c>
      <c r="F479" s="13">
        <v>2031</v>
      </c>
      <c r="G479" s="15" t="s">
        <v>180</v>
      </c>
      <c r="H479" s="75">
        <v>2</v>
      </c>
      <c r="I479" t="s">
        <v>304</v>
      </c>
      <c r="M479" s="18"/>
      <c r="N479" s="18"/>
      <c r="O479" s="13"/>
      <c r="P479" s="15"/>
    </row>
    <row r="480" spans="1:16" x14ac:dyDescent="0.25">
      <c r="D480" s="18"/>
      <c r="E480" s="18"/>
      <c r="G480" s="15"/>
      <c r="M480" s="18"/>
      <c r="N480" s="18"/>
      <c r="O480" s="13"/>
      <c r="P480" s="15"/>
    </row>
    <row r="481" spans="1:16" x14ac:dyDescent="0.25">
      <c r="D481" s="18"/>
      <c r="E481" s="18"/>
      <c r="G481" s="15"/>
      <c r="M481" s="18"/>
      <c r="N481" s="18"/>
      <c r="O481" s="13"/>
      <c r="P481" s="15"/>
    </row>
    <row r="482" spans="1:16" x14ac:dyDescent="0.25">
      <c r="A482">
        <v>353</v>
      </c>
      <c r="B482" t="s">
        <v>79</v>
      </c>
      <c r="C482">
        <v>2015</v>
      </c>
      <c r="F482" s="13">
        <v>1004</v>
      </c>
      <c r="G482" t="str">
        <f>VLOOKUP(F482,'Liste Formations'!$A$5:$B$182,2,FALSE)</f>
        <v>Conduite Chariots Cat.3</v>
      </c>
      <c r="H482">
        <v>7</v>
      </c>
      <c r="I482" t="s">
        <v>280</v>
      </c>
    </row>
    <row r="483" spans="1:16" x14ac:dyDescent="0.25">
      <c r="A483">
        <v>353</v>
      </c>
      <c r="B483" t="s">
        <v>79</v>
      </c>
      <c r="C483">
        <v>2015</v>
      </c>
      <c r="F483" s="13">
        <v>3043</v>
      </c>
      <c r="G483" t="str">
        <f>VLOOKUP(F483,'Liste Formations'!$A$5:$B$182,2,FALSE)</f>
        <v>Poste 1412</v>
      </c>
      <c r="H483">
        <v>151.66999999999999</v>
      </c>
      <c r="I483" t="s">
        <v>308</v>
      </c>
    </row>
    <row r="484" spans="1:16" x14ac:dyDescent="0.25">
      <c r="A484">
        <v>353</v>
      </c>
      <c r="B484" t="s">
        <v>79</v>
      </c>
      <c r="C484">
        <v>2017</v>
      </c>
      <c r="F484" s="13">
        <v>3043</v>
      </c>
      <c r="G484" t="str">
        <f>VLOOKUP(F484,'Liste Formations'!$A$5:$B$182,2,FALSE)</f>
        <v>Poste 1412</v>
      </c>
      <c r="H484">
        <v>151.66999999999999</v>
      </c>
      <c r="I484" t="s">
        <v>308</v>
      </c>
    </row>
    <row r="485" spans="1:16" x14ac:dyDescent="0.25">
      <c r="A485">
        <v>353</v>
      </c>
      <c r="B485" t="s">
        <v>79</v>
      </c>
      <c r="C485">
        <v>2017</v>
      </c>
      <c r="F485" s="13">
        <v>2007</v>
      </c>
      <c r="G485" t="str">
        <f>VLOOKUP(F485,'Liste Formations'!$A$5:$B$182,2,FALSE)</f>
        <v>ERP DIVALTO</v>
      </c>
      <c r="H485">
        <v>2.5</v>
      </c>
      <c r="I485" t="s">
        <v>308</v>
      </c>
    </row>
    <row r="486" spans="1:16" x14ac:dyDescent="0.25">
      <c r="A486">
        <v>353</v>
      </c>
      <c r="B486" t="s">
        <v>79</v>
      </c>
      <c r="C486">
        <v>2018</v>
      </c>
      <c r="F486" s="13">
        <v>1020</v>
      </c>
      <c r="G486" t="str">
        <f>VLOOKUP(F486,'Liste Formations'!$A$5:$B$182,2,FALSE)</f>
        <v>Prévention TMS - Gestes Postures et Nutrition</v>
      </c>
      <c r="H486">
        <v>3.5</v>
      </c>
      <c r="I486" t="s">
        <v>311</v>
      </c>
    </row>
    <row r="487" spans="1:16" x14ac:dyDescent="0.25">
      <c r="A487">
        <v>353</v>
      </c>
      <c r="B487" t="s">
        <v>79</v>
      </c>
      <c r="C487">
        <v>2019</v>
      </c>
      <c r="F487" s="13">
        <v>3043</v>
      </c>
      <c r="G487" t="str">
        <f>VLOOKUP(F487,'Liste Formations'!$A$5:$B$182,2,FALSE)</f>
        <v>Poste 1412</v>
      </c>
      <c r="H487">
        <v>151.66999999999999</v>
      </c>
      <c r="I487" t="s">
        <v>308</v>
      </c>
    </row>
    <row r="488" spans="1:16" x14ac:dyDescent="0.25">
      <c r="A488">
        <v>353</v>
      </c>
      <c r="B488" t="s">
        <v>79</v>
      </c>
      <c r="C488">
        <v>2021</v>
      </c>
      <c r="F488" s="13">
        <v>3043</v>
      </c>
      <c r="G488" t="str">
        <f>VLOOKUP(F488,'Liste Formations'!$A$5:$B$182,2,FALSE)</f>
        <v>Poste 1412</v>
      </c>
      <c r="H488">
        <v>151.66999999999999</v>
      </c>
      <c r="I488" t="s">
        <v>308</v>
      </c>
    </row>
    <row r="489" spans="1:16" x14ac:dyDescent="0.25">
      <c r="A489">
        <v>353</v>
      </c>
      <c r="B489" t="s">
        <v>79</v>
      </c>
      <c r="C489">
        <v>2023</v>
      </c>
      <c r="F489" s="13">
        <v>1012</v>
      </c>
      <c r="G489" t="str">
        <f>VLOOKUP(F489,'Liste Formations'!$A$5:$B$182,2,FALSE)</f>
        <v>ATEX Niveau 0 - Sensibilisation</v>
      </c>
      <c r="H489">
        <v>3.5</v>
      </c>
      <c r="I489" t="s">
        <v>312</v>
      </c>
    </row>
    <row r="490" spans="1:16" x14ac:dyDescent="0.25">
      <c r="A490">
        <v>353</v>
      </c>
      <c r="B490" t="s">
        <v>79</v>
      </c>
      <c r="C490">
        <v>2023</v>
      </c>
      <c r="F490" s="13">
        <v>1009</v>
      </c>
      <c r="G490" t="str">
        <f>VLOOKUP(F490,'Liste Formations'!$A$5:$B$182,2,FALSE)</f>
        <v>Défibrillateur</v>
      </c>
      <c r="H490">
        <v>2</v>
      </c>
      <c r="I490" t="s">
        <v>308</v>
      </c>
    </row>
    <row r="491" spans="1:16" x14ac:dyDescent="0.25">
      <c r="A491">
        <v>353</v>
      </c>
      <c r="B491" t="s">
        <v>79</v>
      </c>
      <c r="C491">
        <v>2023</v>
      </c>
      <c r="F491" s="13">
        <v>1010</v>
      </c>
      <c r="G491" t="s">
        <v>222</v>
      </c>
      <c r="H491">
        <v>2</v>
      </c>
      <c r="I491" t="s">
        <v>308</v>
      </c>
    </row>
    <row r="492" spans="1:16" x14ac:dyDescent="0.25">
      <c r="A492">
        <v>353</v>
      </c>
      <c r="B492" t="s">
        <v>79</v>
      </c>
      <c r="C492">
        <v>2023</v>
      </c>
      <c r="F492" s="13">
        <v>1004</v>
      </c>
      <c r="G492" t="str">
        <f>VLOOKUP(F492,'Liste Formations'!$A$5:$B$182,2,FALSE)</f>
        <v>Conduite Chariots Cat.3</v>
      </c>
      <c r="H492">
        <v>7</v>
      </c>
      <c r="I492" t="s">
        <v>280</v>
      </c>
    </row>
    <row r="493" spans="1:16" x14ac:dyDescent="0.25">
      <c r="A493">
        <v>353</v>
      </c>
      <c r="B493" t="s">
        <v>79</v>
      </c>
      <c r="C493">
        <v>2023</v>
      </c>
      <c r="F493" s="13">
        <v>1003</v>
      </c>
      <c r="G493" t="str">
        <f>VLOOKUP(F493,'Liste Formations'!$A$5:$B$182,2,FALSE)</f>
        <v>Conduite Chariots Cat.5</v>
      </c>
      <c r="H493">
        <v>4</v>
      </c>
      <c r="I493" t="s">
        <v>280</v>
      </c>
    </row>
    <row r="494" spans="1:16" x14ac:dyDescent="0.25">
      <c r="A494">
        <v>353</v>
      </c>
      <c r="B494" t="s">
        <v>79</v>
      </c>
      <c r="C494">
        <v>2024</v>
      </c>
      <c r="F494" s="13">
        <v>1010</v>
      </c>
      <c r="G494" t="s">
        <v>222</v>
      </c>
      <c r="H494">
        <v>2</v>
      </c>
      <c r="I494" t="s">
        <v>308</v>
      </c>
    </row>
    <row r="495" spans="1:16" x14ac:dyDescent="0.25">
      <c r="A495">
        <v>353</v>
      </c>
      <c r="B495" t="s">
        <v>79</v>
      </c>
      <c r="C495">
        <v>2024</v>
      </c>
      <c r="F495" s="13">
        <v>1009</v>
      </c>
      <c r="G495" t="str">
        <f>VLOOKUP(F495,'Liste Formations'!$A$5:$B$182,2,FALSE)</f>
        <v>Défibrillateur</v>
      </c>
      <c r="H495">
        <v>2</v>
      </c>
      <c r="I495" t="s">
        <v>308</v>
      </c>
    </row>
    <row r="498" spans="1:8" x14ac:dyDescent="0.25">
      <c r="A498">
        <v>181</v>
      </c>
      <c r="B498" t="s">
        <v>80</v>
      </c>
      <c r="C498">
        <v>2010</v>
      </c>
      <c r="F498" s="13">
        <v>3039</v>
      </c>
      <c r="G498" t="str">
        <f>VLOOKUP(F498,'Liste Formations'!$A$5:$B$182,2,FALSE)</f>
        <v>Poste 1402</v>
      </c>
      <c r="H498">
        <v>151.66999999999999</v>
      </c>
    </row>
    <row r="499" spans="1:8" x14ac:dyDescent="0.25">
      <c r="A499">
        <v>181</v>
      </c>
      <c r="B499" t="s">
        <v>80</v>
      </c>
      <c r="C499">
        <v>2011</v>
      </c>
      <c r="F499" s="13">
        <v>3005</v>
      </c>
      <c r="G499" t="str">
        <f>VLOOKUP(F499,'Liste Formations'!$A$5:$B$182,2,FALSE)</f>
        <v>Poste 514</v>
      </c>
      <c r="H499">
        <v>151.66999999999999</v>
      </c>
    </row>
    <row r="500" spans="1:8" x14ac:dyDescent="0.25">
      <c r="A500">
        <v>181</v>
      </c>
      <c r="B500" t="s">
        <v>80</v>
      </c>
      <c r="C500">
        <v>2012</v>
      </c>
      <c r="F500" s="13">
        <v>3014</v>
      </c>
      <c r="G500" t="str">
        <f>VLOOKUP(F500,'Liste Formations'!$A$5:$B$182,2,FALSE)</f>
        <v>Poste 902</v>
      </c>
      <c r="H500">
        <v>151.66999999999999</v>
      </c>
    </row>
    <row r="501" spans="1:8" x14ac:dyDescent="0.25">
      <c r="A501">
        <v>181</v>
      </c>
      <c r="B501" t="s">
        <v>80</v>
      </c>
      <c r="C501">
        <v>2013</v>
      </c>
      <c r="F501" s="13">
        <v>3023</v>
      </c>
      <c r="G501" t="str">
        <f>VLOOKUP(F501,'Liste Formations'!$A$5:$B$182,2,FALSE)</f>
        <v>Poste 923</v>
      </c>
      <c r="H501">
        <v>151.66999999999999</v>
      </c>
    </row>
    <row r="502" spans="1:8" x14ac:dyDescent="0.25">
      <c r="A502">
        <v>181</v>
      </c>
      <c r="B502" t="s">
        <v>80</v>
      </c>
      <c r="C502">
        <v>2014</v>
      </c>
      <c r="F502" s="13">
        <v>1011</v>
      </c>
      <c r="G502" t="str">
        <f>VLOOKUP(F502,'Liste Formations'!$A$5:$B$182,2,FALSE)</f>
        <v>UTI.COM - SSI / CHUBB</v>
      </c>
      <c r="H502">
        <v>4</v>
      </c>
    </row>
    <row r="503" spans="1:8" x14ac:dyDescent="0.25">
      <c r="A503">
        <v>181</v>
      </c>
      <c r="B503" t="s">
        <v>80</v>
      </c>
      <c r="C503">
        <v>2015</v>
      </c>
      <c r="F503" s="13">
        <v>1025</v>
      </c>
      <c r="G503" t="str">
        <f>VLOOKUP(F503,'Liste Formations'!$A$5:$B$182,2,FALSE)</f>
        <v>Manipulation Nanocharges</v>
      </c>
      <c r="H503">
        <v>0.5</v>
      </c>
    </row>
    <row r="504" spans="1:8" x14ac:dyDescent="0.25">
      <c r="A504">
        <v>181</v>
      </c>
      <c r="B504" t="s">
        <v>80</v>
      </c>
      <c r="C504">
        <v>2015</v>
      </c>
      <c r="F504" s="13">
        <v>2005</v>
      </c>
      <c r="G504" t="str">
        <f>VLOOKUP(F504,'Liste Formations'!$A$5:$B$182,2,FALSE)</f>
        <v>Formation LEAN</v>
      </c>
      <c r="H504">
        <v>2</v>
      </c>
    </row>
    <row r="505" spans="1:8" x14ac:dyDescent="0.25">
      <c r="A505">
        <v>181</v>
      </c>
      <c r="B505" t="s">
        <v>80</v>
      </c>
      <c r="C505">
        <v>2015</v>
      </c>
      <c r="F505" s="13">
        <v>3001</v>
      </c>
      <c r="G505" t="str">
        <f>VLOOKUP(F505,'Liste Formations'!$A$5:$B$182,2,FALSE)</f>
        <v>Poste 506</v>
      </c>
      <c r="H505">
        <v>151.66999999999999</v>
      </c>
    </row>
    <row r="506" spans="1:8" x14ac:dyDescent="0.25">
      <c r="A506">
        <v>181</v>
      </c>
      <c r="B506" t="s">
        <v>80</v>
      </c>
      <c r="C506">
        <v>2015</v>
      </c>
      <c r="F506" s="13">
        <v>3014</v>
      </c>
      <c r="G506" t="str">
        <f>VLOOKUP(F506,'Liste Formations'!$A$5:$B$182,2,FALSE)</f>
        <v>Poste 902</v>
      </c>
      <c r="H506">
        <v>151.66999999999999</v>
      </c>
    </row>
    <row r="507" spans="1:8" x14ac:dyDescent="0.25">
      <c r="A507">
        <v>181</v>
      </c>
      <c r="B507" t="s">
        <v>80</v>
      </c>
      <c r="C507">
        <v>2015</v>
      </c>
      <c r="F507" s="13">
        <v>3023</v>
      </c>
      <c r="G507" t="str">
        <f>VLOOKUP(F507,'Liste Formations'!$A$5:$B$182,2,FALSE)</f>
        <v>Poste 923</v>
      </c>
      <c r="H507">
        <v>151.66999999999999</v>
      </c>
    </row>
    <row r="508" spans="1:8" x14ac:dyDescent="0.25">
      <c r="A508">
        <v>181</v>
      </c>
      <c r="B508" t="s">
        <v>80</v>
      </c>
      <c r="C508">
        <v>2016</v>
      </c>
      <c r="F508" s="13">
        <v>3002</v>
      </c>
      <c r="G508" t="str">
        <f>VLOOKUP(F508,'Liste Formations'!$A$5:$B$182,2,FALSE)</f>
        <v>Poste 507</v>
      </c>
      <c r="H508">
        <v>151.66999999999999</v>
      </c>
    </row>
    <row r="509" spans="1:8" x14ac:dyDescent="0.25">
      <c r="A509">
        <v>181</v>
      </c>
      <c r="B509" t="s">
        <v>80</v>
      </c>
      <c r="C509">
        <v>2016</v>
      </c>
      <c r="F509" s="13">
        <v>3003</v>
      </c>
      <c r="G509" t="str">
        <f>VLOOKUP(F509,'Liste Formations'!$A$5:$B$182,2,FALSE)</f>
        <v>Poste 509</v>
      </c>
      <c r="H509">
        <v>151.66999999999999</v>
      </c>
    </row>
    <row r="510" spans="1:8" x14ac:dyDescent="0.25">
      <c r="A510">
        <v>181</v>
      </c>
      <c r="B510" t="s">
        <v>80</v>
      </c>
      <c r="C510">
        <v>2016</v>
      </c>
      <c r="F510" s="13">
        <v>3005</v>
      </c>
      <c r="G510" t="str">
        <f>VLOOKUP(F510,'Liste Formations'!$A$5:$B$182,2,FALSE)</f>
        <v>Poste 514</v>
      </c>
      <c r="H510">
        <v>151.66999999999999</v>
      </c>
    </row>
    <row r="511" spans="1:8" x14ac:dyDescent="0.25">
      <c r="A511">
        <v>181</v>
      </c>
      <c r="B511" t="s">
        <v>80</v>
      </c>
      <c r="C511">
        <v>2016</v>
      </c>
      <c r="F511" s="13">
        <v>3006</v>
      </c>
      <c r="G511" t="str">
        <f>VLOOKUP(F511,'Liste Formations'!$A$5:$B$182,2,FALSE)</f>
        <v>Poste 515</v>
      </c>
      <c r="H511">
        <v>151.66999999999999</v>
      </c>
    </row>
    <row r="512" spans="1:8" x14ac:dyDescent="0.25">
      <c r="A512">
        <v>181</v>
      </c>
      <c r="B512" t="s">
        <v>80</v>
      </c>
      <c r="C512">
        <v>2016</v>
      </c>
      <c r="F512" s="13">
        <v>3008</v>
      </c>
      <c r="G512" t="str">
        <f>VLOOKUP(F512,'Liste Formations'!$A$5:$B$182,2,FALSE)</f>
        <v>Poste 560</v>
      </c>
      <c r="H512">
        <v>151.66999999999999</v>
      </c>
    </row>
    <row r="513" spans="1:8" x14ac:dyDescent="0.25">
      <c r="A513">
        <v>181</v>
      </c>
      <c r="B513" t="s">
        <v>80</v>
      </c>
      <c r="C513">
        <v>2017</v>
      </c>
      <c r="F513" s="13">
        <v>2007</v>
      </c>
      <c r="G513" t="str">
        <f>VLOOKUP(F513,'Liste Formations'!$A$5:$B$182,2,FALSE)</f>
        <v>ERP DIVALTO</v>
      </c>
      <c r="H513">
        <v>9</v>
      </c>
    </row>
    <row r="514" spans="1:8" x14ac:dyDescent="0.25">
      <c r="A514">
        <v>181</v>
      </c>
      <c r="B514" t="s">
        <v>80</v>
      </c>
      <c r="C514">
        <v>2017</v>
      </c>
      <c r="F514" s="13">
        <v>3001</v>
      </c>
      <c r="G514" t="str">
        <f>VLOOKUP(F514,'Liste Formations'!$A$5:$B$182,2,FALSE)</f>
        <v>Poste 506</v>
      </c>
      <c r="H514">
        <v>151.66999999999999</v>
      </c>
    </row>
    <row r="515" spans="1:8" x14ac:dyDescent="0.25">
      <c r="A515">
        <v>181</v>
      </c>
      <c r="B515" t="s">
        <v>80</v>
      </c>
      <c r="C515">
        <v>2017</v>
      </c>
      <c r="F515" s="13">
        <v>3014</v>
      </c>
      <c r="G515" t="str">
        <f>VLOOKUP(F515,'Liste Formations'!$A$5:$B$182,2,FALSE)</f>
        <v>Poste 902</v>
      </c>
      <c r="H515">
        <v>151.66999999999999</v>
      </c>
    </row>
    <row r="516" spans="1:8" x14ac:dyDescent="0.25">
      <c r="A516">
        <v>181</v>
      </c>
      <c r="B516" t="s">
        <v>80</v>
      </c>
      <c r="C516">
        <v>2017</v>
      </c>
      <c r="F516" s="13">
        <v>3023</v>
      </c>
      <c r="G516" t="str">
        <f>VLOOKUP(F516,'Liste Formations'!$A$5:$B$182,2,FALSE)</f>
        <v>Poste 923</v>
      </c>
      <c r="H516">
        <v>151.66999999999999</v>
      </c>
    </row>
    <row r="517" spans="1:8" x14ac:dyDescent="0.25">
      <c r="A517">
        <v>181</v>
      </c>
      <c r="B517" t="s">
        <v>80</v>
      </c>
      <c r="C517">
        <v>2018</v>
      </c>
      <c r="F517" s="13">
        <v>1001</v>
      </c>
      <c r="G517" t="str">
        <f>VLOOKUP(F517,'Liste Formations'!$A$5:$B$182,2,FALSE)</f>
        <v>Conduite nacelle CACES R486A  Plate forme mobile</v>
      </c>
      <c r="H517">
        <v>7</v>
      </c>
    </row>
    <row r="518" spans="1:8" x14ac:dyDescent="0.25">
      <c r="A518">
        <v>181</v>
      </c>
      <c r="B518" t="s">
        <v>80</v>
      </c>
      <c r="C518">
        <v>2018</v>
      </c>
      <c r="F518" s="13">
        <v>1004</v>
      </c>
      <c r="G518" t="str">
        <f>VLOOKUP(F518,'Liste Formations'!$A$5:$B$182,2,FALSE)</f>
        <v>Conduite Chariots Cat.3</v>
      </c>
      <c r="H518">
        <v>7</v>
      </c>
    </row>
    <row r="519" spans="1:8" x14ac:dyDescent="0.25">
      <c r="A519">
        <v>181</v>
      </c>
      <c r="B519" t="s">
        <v>80</v>
      </c>
      <c r="C519">
        <v>2018</v>
      </c>
      <c r="F519" s="13">
        <v>1020</v>
      </c>
      <c r="G519" t="str">
        <f>VLOOKUP(F519,'Liste Formations'!$A$5:$B$182,2,FALSE)</f>
        <v>Prévention TMS - Gestes Postures et Nutrition</v>
      </c>
      <c r="H519">
        <v>3.5</v>
      </c>
    </row>
    <row r="520" spans="1:8" x14ac:dyDescent="0.25">
      <c r="A520">
        <v>181</v>
      </c>
      <c r="B520" t="s">
        <v>80</v>
      </c>
      <c r="C520">
        <v>2018</v>
      </c>
      <c r="F520" s="13">
        <v>2012</v>
      </c>
      <c r="G520" t="str">
        <f>VLOOKUP(F520,'Liste Formations'!$A$5:$B$182,2,FALSE)</f>
        <v>Formateur en SST</v>
      </c>
      <c r="H520">
        <v>21</v>
      </c>
    </row>
    <row r="521" spans="1:8" x14ac:dyDescent="0.25">
      <c r="A521">
        <v>181</v>
      </c>
      <c r="B521" t="s">
        <v>80</v>
      </c>
      <c r="C521">
        <v>2018</v>
      </c>
      <c r="F521" s="13">
        <v>3002</v>
      </c>
      <c r="G521" t="str">
        <f>VLOOKUP(F521,'Liste Formations'!$A$5:$B$182,2,FALSE)</f>
        <v>Poste 507</v>
      </c>
      <c r="H521">
        <v>151.66999999999999</v>
      </c>
    </row>
    <row r="522" spans="1:8" x14ac:dyDescent="0.25">
      <c r="A522">
        <v>181</v>
      </c>
      <c r="B522" t="s">
        <v>80</v>
      </c>
      <c r="C522">
        <v>2018</v>
      </c>
      <c r="F522" s="13">
        <v>3004</v>
      </c>
      <c r="G522" t="str">
        <f>VLOOKUP(F522,'Liste Formations'!$A$5:$B$182,2,FALSE)</f>
        <v>Poste 510</v>
      </c>
      <c r="H522">
        <v>151.66999999999999</v>
      </c>
    </row>
    <row r="523" spans="1:8" x14ac:dyDescent="0.25">
      <c r="A523">
        <v>181</v>
      </c>
      <c r="B523" t="s">
        <v>80</v>
      </c>
      <c r="C523">
        <v>2018</v>
      </c>
      <c r="F523" s="13">
        <v>3005</v>
      </c>
      <c r="G523" t="str">
        <f>VLOOKUP(F523,'Liste Formations'!$A$5:$B$182,2,FALSE)</f>
        <v>Poste 514</v>
      </c>
      <c r="H523">
        <v>151.66999999999999</v>
      </c>
    </row>
    <row r="524" spans="1:8" x14ac:dyDescent="0.25">
      <c r="A524">
        <v>181</v>
      </c>
      <c r="B524" t="s">
        <v>80</v>
      </c>
      <c r="C524">
        <v>2018</v>
      </c>
      <c r="F524" s="13">
        <v>3006</v>
      </c>
      <c r="G524" t="str">
        <f>VLOOKUP(F524,'Liste Formations'!$A$5:$B$182,2,FALSE)</f>
        <v>Poste 515</v>
      </c>
      <c r="H524">
        <v>151.66999999999999</v>
      </c>
    </row>
    <row r="525" spans="1:8" x14ac:dyDescent="0.25">
      <c r="A525">
        <v>181</v>
      </c>
      <c r="B525" t="s">
        <v>80</v>
      </c>
      <c r="C525">
        <v>2018</v>
      </c>
      <c r="F525" s="13">
        <v>3008</v>
      </c>
      <c r="G525" t="str">
        <f>VLOOKUP(F525,'Liste Formations'!$A$5:$B$182,2,FALSE)</f>
        <v>Poste 560</v>
      </c>
      <c r="H525">
        <v>151.66999999999999</v>
      </c>
    </row>
    <row r="526" spans="1:8" x14ac:dyDescent="0.25">
      <c r="A526">
        <v>181</v>
      </c>
      <c r="B526" t="s">
        <v>80</v>
      </c>
      <c r="C526">
        <v>2018</v>
      </c>
      <c r="F526" s="13">
        <v>3037</v>
      </c>
      <c r="G526" t="str">
        <f>VLOOKUP(F526,'Liste Formations'!$A$5:$B$182,2,FALSE)</f>
        <v>Poste 1121</v>
      </c>
      <c r="H526">
        <v>151.66999999999999</v>
      </c>
    </row>
    <row r="527" spans="1:8" x14ac:dyDescent="0.25">
      <c r="A527">
        <v>181</v>
      </c>
      <c r="B527" t="s">
        <v>80</v>
      </c>
      <c r="C527">
        <v>2019</v>
      </c>
      <c r="F527" s="13">
        <v>1022</v>
      </c>
      <c r="G527" t="str">
        <f>VLOOKUP(F527,'Liste Formations'!$A$5:$B$182,2,FALSE)</f>
        <v>Sensibilisation au bruit</v>
      </c>
      <c r="H527">
        <v>0.16</v>
      </c>
    </row>
    <row r="528" spans="1:8" x14ac:dyDescent="0.25">
      <c r="A528">
        <v>181</v>
      </c>
      <c r="B528" t="s">
        <v>80</v>
      </c>
      <c r="C528">
        <v>2019</v>
      </c>
      <c r="F528" s="13">
        <v>1028</v>
      </c>
      <c r="G528" t="str">
        <f>VLOOKUP(F528,'Liste Formations'!$A$5:$B$182,2,FALSE)</f>
        <v>PRAP IBC</v>
      </c>
      <c r="H528">
        <v>14</v>
      </c>
    </row>
    <row r="529" spans="1:8" x14ac:dyDescent="0.25">
      <c r="A529">
        <v>181</v>
      </c>
      <c r="B529" t="s">
        <v>80</v>
      </c>
      <c r="C529">
        <v>2019</v>
      </c>
      <c r="F529" s="13">
        <v>3001</v>
      </c>
      <c r="G529" t="str">
        <f>VLOOKUP(F529,'Liste Formations'!$A$5:$B$182,2,FALSE)</f>
        <v>Poste 506</v>
      </c>
      <c r="H529">
        <v>151.66999999999999</v>
      </c>
    </row>
    <row r="530" spans="1:8" x14ac:dyDescent="0.25">
      <c r="A530">
        <v>181</v>
      </c>
      <c r="B530" t="s">
        <v>80</v>
      </c>
      <c r="C530">
        <v>2019</v>
      </c>
      <c r="F530" s="13">
        <v>3007</v>
      </c>
      <c r="G530" t="str">
        <f>VLOOKUP(F530,'Liste Formations'!$A$5:$B$182,2,FALSE)</f>
        <v>Poste 516</v>
      </c>
      <c r="H530">
        <v>151.66999999999999</v>
      </c>
    </row>
    <row r="531" spans="1:8" x14ac:dyDescent="0.25">
      <c r="A531">
        <v>181</v>
      </c>
      <c r="B531" t="s">
        <v>80</v>
      </c>
      <c r="C531">
        <v>2019</v>
      </c>
      <c r="F531" s="13">
        <v>3008</v>
      </c>
      <c r="G531" t="str">
        <f>VLOOKUP(F531,'Liste Formations'!$A$5:$B$182,2,FALSE)</f>
        <v>Poste 560</v>
      </c>
      <c r="H531">
        <v>151.66999999999999</v>
      </c>
    </row>
    <row r="532" spans="1:8" x14ac:dyDescent="0.25">
      <c r="A532">
        <v>181</v>
      </c>
      <c r="B532" t="s">
        <v>80</v>
      </c>
      <c r="C532">
        <v>2019</v>
      </c>
      <c r="F532" s="13">
        <v>3014</v>
      </c>
      <c r="G532" t="str">
        <f>VLOOKUP(F532,'Liste Formations'!$A$5:$B$182,2,FALSE)</f>
        <v>Poste 902</v>
      </c>
      <c r="H532">
        <v>151.66999999999999</v>
      </c>
    </row>
    <row r="533" spans="1:8" x14ac:dyDescent="0.25">
      <c r="A533">
        <v>181</v>
      </c>
      <c r="B533" t="s">
        <v>80</v>
      </c>
      <c r="C533">
        <v>2019</v>
      </c>
      <c r="F533" s="13">
        <v>3023</v>
      </c>
      <c r="G533" t="str">
        <f>VLOOKUP(F533,'Liste Formations'!$A$5:$B$182,2,FALSE)</f>
        <v>Poste 923</v>
      </c>
      <c r="H533">
        <v>151.66999999999999</v>
      </c>
    </row>
    <row r="534" spans="1:8" x14ac:dyDescent="0.25">
      <c r="A534">
        <v>181</v>
      </c>
      <c r="B534" t="s">
        <v>80</v>
      </c>
      <c r="C534">
        <v>2019</v>
      </c>
      <c r="F534" s="13">
        <v>3037</v>
      </c>
      <c r="G534" t="str">
        <f>VLOOKUP(F534,'Liste Formations'!$A$5:$B$182,2,FALSE)</f>
        <v>Poste 1121</v>
      </c>
      <c r="H534">
        <v>151.66999999999999</v>
      </c>
    </row>
    <row r="535" spans="1:8" x14ac:dyDescent="0.25">
      <c r="A535">
        <v>181</v>
      </c>
      <c r="B535" t="s">
        <v>80</v>
      </c>
      <c r="C535">
        <v>2020</v>
      </c>
      <c r="F535" s="13">
        <v>2007</v>
      </c>
      <c r="G535" t="str">
        <f>VLOOKUP(F535,'Liste Formations'!$A$5:$B$182,2,FALSE)</f>
        <v>ERP DIVALTO</v>
      </c>
      <c r="H535">
        <v>2.5</v>
      </c>
    </row>
    <row r="536" spans="1:8" x14ac:dyDescent="0.25">
      <c r="A536">
        <v>181</v>
      </c>
      <c r="B536" t="s">
        <v>80</v>
      </c>
      <c r="C536">
        <v>2020</v>
      </c>
      <c r="F536" s="13">
        <v>3013</v>
      </c>
      <c r="G536" t="str">
        <f>VLOOKUP(F536,'Liste Formations'!$A$5:$B$182,2,FALSE)</f>
        <v>Poste 901</v>
      </c>
      <c r="H536">
        <v>120</v>
      </c>
    </row>
    <row r="537" spans="1:8" x14ac:dyDescent="0.25">
      <c r="A537">
        <v>181</v>
      </c>
      <c r="B537" t="s">
        <v>80</v>
      </c>
      <c r="C537">
        <v>2020</v>
      </c>
      <c r="F537" s="13">
        <v>3014</v>
      </c>
      <c r="G537" t="str">
        <f>VLOOKUP(F537,'Liste Formations'!$A$5:$B$182,2,FALSE)</f>
        <v>Poste 902</v>
      </c>
      <c r="H537">
        <v>58</v>
      </c>
    </row>
    <row r="538" spans="1:8" x14ac:dyDescent="0.25">
      <c r="A538">
        <v>181</v>
      </c>
      <c r="B538" t="s">
        <v>80</v>
      </c>
      <c r="C538">
        <v>2020</v>
      </c>
      <c r="F538" s="13">
        <v>3015</v>
      </c>
      <c r="G538" t="str">
        <f>VLOOKUP(F538,'Liste Formations'!$A$5:$B$182,2,FALSE)</f>
        <v>Poste 903</v>
      </c>
      <c r="H538">
        <v>16</v>
      </c>
    </row>
    <row r="539" spans="1:8" x14ac:dyDescent="0.25">
      <c r="A539">
        <v>181</v>
      </c>
      <c r="B539" t="s">
        <v>80</v>
      </c>
      <c r="C539">
        <v>2020</v>
      </c>
      <c r="F539" s="13">
        <v>3016</v>
      </c>
      <c r="G539" t="str">
        <f>VLOOKUP(F539,'Liste Formations'!$A$5:$B$182,2,FALSE)</f>
        <v>Poste 904</v>
      </c>
      <c r="H539">
        <v>16</v>
      </c>
    </row>
    <row r="540" spans="1:8" x14ac:dyDescent="0.25">
      <c r="A540">
        <v>181</v>
      </c>
      <c r="B540" t="s">
        <v>80</v>
      </c>
      <c r="C540">
        <v>2020</v>
      </c>
      <c r="F540" s="13">
        <v>3026</v>
      </c>
      <c r="G540" t="str">
        <f>VLOOKUP(F540,'Liste Formations'!$A$5:$B$182,2,FALSE)</f>
        <v>Poste 940</v>
      </c>
      <c r="H540">
        <v>96</v>
      </c>
    </row>
    <row r="541" spans="1:8" x14ac:dyDescent="0.25">
      <c r="A541">
        <v>181</v>
      </c>
      <c r="B541" t="s">
        <v>80</v>
      </c>
      <c r="C541">
        <v>2020</v>
      </c>
      <c r="F541" s="13">
        <v>3027</v>
      </c>
      <c r="G541" t="str">
        <f>VLOOKUP(F541,'Liste Formations'!$A$5:$B$182,2,FALSE)</f>
        <v>Poste 941</v>
      </c>
      <c r="H541">
        <v>129</v>
      </c>
    </row>
    <row r="542" spans="1:8" x14ac:dyDescent="0.25">
      <c r="A542">
        <v>181</v>
      </c>
      <c r="B542" t="s">
        <v>80</v>
      </c>
      <c r="C542">
        <v>2020</v>
      </c>
      <c r="F542" s="13">
        <v>3028</v>
      </c>
      <c r="G542" t="str">
        <f>VLOOKUP(F542,'Liste Formations'!$A$5:$B$182,2,FALSE)</f>
        <v>Poste 942</v>
      </c>
      <c r="H542">
        <v>66</v>
      </c>
    </row>
    <row r="543" spans="1:8" x14ac:dyDescent="0.25">
      <c r="A543">
        <v>181</v>
      </c>
      <c r="B543" t="s">
        <v>80</v>
      </c>
      <c r="C543">
        <v>2021</v>
      </c>
      <c r="F543" s="13">
        <v>3001</v>
      </c>
      <c r="G543" t="str">
        <f>VLOOKUP(F543,'Liste Formations'!$A$5:$B$182,2,FALSE)</f>
        <v>Poste 506</v>
      </c>
      <c r="H543">
        <v>151.66999999999999</v>
      </c>
    </row>
    <row r="544" spans="1:8" x14ac:dyDescent="0.25">
      <c r="A544">
        <v>181</v>
      </c>
      <c r="B544" t="s">
        <v>80</v>
      </c>
      <c r="C544">
        <v>2021</v>
      </c>
      <c r="F544" s="13">
        <v>3002</v>
      </c>
      <c r="G544" t="str">
        <f>VLOOKUP(F544,'Liste Formations'!$A$5:$B$182,2,FALSE)</f>
        <v>Poste 507</v>
      </c>
      <c r="H544">
        <v>151.66999999999999</v>
      </c>
    </row>
    <row r="545" spans="1:9" x14ac:dyDescent="0.25">
      <c r="A545">
        <v>181</v>
      </c>
      <c r="B545" t="s">
        <v>80</v>
      </c>
      <c r="C545">
        <v>2021</v>
      </c>
      <c r="F545" s="13">
        <v>3005</v>
      </c>
      <c r="G545" t="str">
        <f>VLOOKUP(F545,'Liste Formations'!$A$5:$B$182,2,FALSE)</f>
        <v>Poste 514</v>
      </c>
      <c r="H545">
        <v>151.66999999999999</v>
      </c>
    </row>
    <row r="546" spans="1:9" x14ac:dyDescent="0.25">
      <c r="A546">
        <v>181</v>
      </c>
      <c r="B546" t="s">
        <v>80</v>
      </c>
      <c r="C546">
        <v>2021</v>
      </c>
      <c r="F546" s="13">
        <v>3015</v>
      </c>
      <c r="G546" t="str">
        <f>VLOOKUP(F546,'Liste Formations'!$A$5:$B$182,2,FALSE)</f>
        <v>Poste 903</v>
      </c>
      <c r="H546">
        <v>151.66999999999999</v>
      </c>
    </row>
    <row r="547" spans="1:9" x14ac:dyDescent="0.25">
      <c r="A547">
        <v>181</v>
      </c>
      <c r="B547" t="s">
        <v>80</v>
      </c>
      <c r="C547">
        <v>2023</v>
      </c>
      <c r="F547" s="13">
        <v>1001</v>
      </c>
      <c r="G547" t="str">
        <f>VLOOKUP(F547,'Liste Formations'!$A$5:$B$182,2,FALSE)</f>
        <v>Conduite nacelle CACES R486A  Plate forme mobile</v>
      </c>
      <c r="H547">
        <v>21</v>
      </c>
    </row>
    <row r="548" spans="1:9" x14ac:dyDescent="0.25">
      <c r="A548">
        <v>181</v>
      </c>
      <c r="B548" t="s">
        <v>80</v>
      </c>
      <c r="C548">
        <v>2023</v>
      </c>
      <c r="F548" s="13">
        <v>1003</v>
      </c>
      <c r="G548" t="str">
        <f>VLOOKUP(F548,'Liste Formations'!$A$5:$B$182,2,FALSE)</f>
        <v>Conduite Chariots Cat.5</v>
      </c>
      <c r="H548">
        <v>4</v>
      </c>
    </row>
    <row r="549" spans="1:9" x14ac:dyDescent="0.25">
      <c r="A549">
        <v>181</v>
      </c>
      <c r="B549" t="s">
        <v>80</v>
      </c>
      <c r="C549">
        <v>2023</v>
      </c>
      <c r="F549" s="13">
        <v>1004</v>
      </c>
      <c r="G549" t="str">
        <f>VLOOKUP(F549,'Liste Formations'!$A$5:$B$182,2,FALSE)</f>
        <v>Conduite Chariots Cat.3</v>
      </c>
      <c r="H549">
        <v>7</v>
      </c>
    </row>
    <row r="550" spans="1:9" x14ac:dyDescent="0.25">
      <c r="A550">
        <v>181</v>
      </c>
      <c r="B550" t="s">
        <v>80</v>
      </c>
      <c r="C550">
        <v>2023</v>
      </c>
      <c r="F550" s="13">
        <v>1006</v>
      </c>
      <c r="G550" t="str">
        <f>VLOOKUP(F550,'Liste Formations'!$A$5:$B$182,2,FALSE)</f>
        <v>Habilitation électrique BE Manœuvre BS</v>
      </c>
      <c r="H550">
        <v>14</v>
      </c>
    </row>
    <row r="551" spans="1:9" x14ac:dyDescent="0.25">
      <c r="A551">
        <v>181</v>
      </c>
      <c r="B551" t="s">
        <v>80</v>
      </c>
      <c r="C551">
        <v>2023</v>
      </c>
      <c r="F551" s="13">
        <v>1014</v>
      </c>
      <c r="G551" t="str">
        <f>VLOOKUP(F551,'Liste Formations'!$A$5:$B$182,2,FALSE)</f>
        <v>Membres CSE</v>
      </c>
      <c r="H551">
        <v>35</v>
      </c>
    </row>
    <row r="552" spans="1:9" x14ac:dyDescent="0.25">
      <c r="A552">
        <v>181</v>
      </c>
      <c r="B552" t="s">
        <v>80</v>
      </c>
      <c r="C552">
        <v>2024</v>
      </c>
      <c r="F552" s="13">
        <v>1020</v>
      </c>
      <c r="G552" t="str">
        <f>VLOOKUP(F552,'Liste Formations'!$A$5:$B$182,2,FALSE)</f>
        <v>Prévention TMS - Gestes Postures et Nutrition</v>
      </c>
      <c r="H552">
        <v>3.5</v>
      </c>
    </row>
    <row r="553" spans="1:9" x14ac:dyDescent="0.25">
      <c r="A553">
        <v>181</v>
      </c>
      <c r="B553" t="s">
        <v>80</v>
      </c>
      <c r="C553">
        <v>2024</v>
      </c>
      <c r="F553" s="13">
        <v>1032</v>
      </c>
      <c r="G553" t="str">
        <f>VLOOKUP(F553,'Liste Formations'!$A$5:$B$182,2,FALSE)</f>
        <v>Sensibilisation RPS Risques Psychosociaux</v>
      </c>
      <c r="H553">
        <v>2</v>
      </c>
    </row>
    <row r="554" spans="1:9" x14ac:dyDescent="0.25">
      <c r="A554">
        <v>181</v>
      </c>
      <c r="B554" t="s">
        <v>80</v>
      </c>
      <c r="C554">
        <v>2024</v>
      </c>
      <c r="F554" s="13">
        <v>1033</v>
      </c>
      <c r="G554" t="str">
        <f>VLOOKUP(F554,'Liste Formations'!$A$5:$B$182,2,FALSE)</f>
        <v>Sensibilisation aux addictions</v>
      </c>
      <c r="H554">
        <v>1.5</v>
      </c>
    </row>
    <row r="555" spans="1:9" x14ac:dyDescent="0.25">
      <c r="A555">
        <v>181</v>
      </c>
      <c r="B555" t="s">
        <v>80</v>
      </c>
      <c r="C555">
        <v>2024</v>
      </c>
      <c r="F555" s="13">
        <v>2031</v>
      </c>
      <c r="G555" t="str">
        <f>VLOOKUP(F555,'Liste Formations'!$A$5:$B$182,2,FALSE)</f>
        <v>Qualité</v>
      </c>
      <c r="H555">
        <v>2</v>
      </c>
    </row>
    <row r="556" spans="1:9" x14ac:dyDescent="0.25">
      <c r="A556">
        <v>182</v>
      </c>
      <c r="B556" t="s">
        <v>80</v>
      </c>
      <c r="C556">
        <v>2025</v>
      </c>
      <c r="D556" s="18">
        <v>45723</v>
      </c>
      <c r="E556" s="18">
        <v>45754</v>
      </c>
      <c r="F556" s="13">
        <v>3008</v>
      </c>
      <c r="G556" s="15" t="s">
        <v>33</v>
      </c>
      <c r="H556" s="75">
        <v>35</v>
      </c>
      <c r="I556" t="s">
        <v>308</v>
      </c>
    </row>
    <row r="557" spans="1:9" x14ac:dyDescent="0.25">
      <c r="D557" s="18"/>
      <c r="E557" s="18"/>
      <c r="G557" s="15"/>
    </row>
    <row r="558" spans="1:9" x14ac:dyDescent="0.25">
      <c r="D558" s="18"/>
      <c r="E558" s="18"/>
      <c r="G558" s="15"/>
    </row>
    <row r="559" spans="1:9" x14ac:dyDescent="0.25">
      <c r="A559">
        <v>318</v>
      </c>
      <c r="B559" t="s">
        <v>82</v>
      </c>
      <c r="C559">
        <v>2013</v>
      </c>
      <c r="F559" s="13">
        <v>3002</v>
      </c>
      <c r="G559" t="str">
        <f>VLOOKUP(F559,'Liste Formations'!$A$5:$B$182,2,FALSE)</f>
        <v>Poste 507</v>
      </c>
      <c r="H559">
        <v>151.66999999999999</v>
      </c>
    </row>
    <row r="560" spans="1:9" x14ac:dyDescent="0.25">
      <c r="A560">
        <v>318</v>
      </c>
      <c r="B560" t="s">
        <v>82</v>
      </c>
      <c r="C560">
        <v>2014</v>
      </c>
      <c r="F560" s="13">
        <v>1004</v>
      </c>
      <c r="G560" t="str">
        <f>VLOOKUP(F560,'Liste Formations'!$A$5:$B$182,2,FALSE)</f>
        <v>Conduite Chariots Cat.3</v>
      </c>
      <c r="H560">
        <v>7</v>
      </c>
    </row>
    <row r="561" spans="1:8" x14ac:dyDescent="0.25">
      <c r="A561">
        <v>318</v>
      </c>
      <c r="B561" t="s">
        <v>82</v>
      </c>
      <c r="C561">
        <v>2015</v>
      </c>
      <c r="F561" s="13">
        <v>3002</v>
      </c>
      <c r="G561" t="str">
        <f>VLOOKUP(F561,'Liste Formations'!$A$5:$B$182,2,FALSE)</f>
        <v>Poste 507</v>
      </c>
      <c r="H561">
        <v>151.66999999999999</v>
      </c>
    </row>
    <row r="562" spans="1:8" x14ac:dyDescent="0.25">
      <c r="A562">
        <v>318</v>
      </c>
      <c r="B562" t="s">
        <v>82</v>
      </c>
      <c r="C562">
        <v>2017</v>
      </c>
      <c r="F562" s="13">
        <v>3002</v>
      </c>
      <c r="G562" t="str">
        <f>VLOOKUP(F562,'Liste Formations'!$A$5:$B$182,2,FALSE)</f>
        <v>Poste 507</v>
      </c>
      <c r="H562">
        <v>151.66999999999999</v>
      </c>
    </row>
    <row r="563" spans="1:8" x14ac:dyDescent="0.25">
      <c r="A563">
        <v>318</v>
      </c>
      <c r="B563" t="s">
        <v>82</v>
      </c>
      <c r="C563">
        <v>2017</v>
      </c>
      <c r="F563" s="13">
        <v>3003</v>
      </c>
      <c r="G563" t="str">
        <f>VLOOKUP(F563,'Liste Formations'!$A$5:$B$182,2,FALSE)</f>
        <v>Poste 509</v>
      </c>
      <c r="H563">
        <v>151.66999999999999</v>
      </c>
    </row>
    <row r="564" spans="1:8" x14ac:dyDescent="0.25">
      <c r="A564">
        <v>318</v>
      </c>
      <c r="B564" t="s">
        <v>82</v>
      </c>
      <c r="C564">
        <v>2017</v>
      </c>
      <c r="F564" s="13">
        <v>3006</v>
      </c>
      <c r="G564" t="str">
        <f>VLOOKUP(F564,'Liste Formations'!$A$5:$B$182,2,FALSE)</f>
        <v>Poste 515</v>
      </c>
      <c r="H564">
        <v>151.66999999999999</v>
      </c>
    </row>
    <row r="565" spans="1:8" x14ac:dyDescent="0.25">
      <c r="A565">
        <v>318</v>
      </c>
      <c r="B565" t="s">
        <v>82</v>
      </c>
      <c r="C565">
        <v>2017</v>
      </c>
      <c r="F565" s="13">
        <v>2007</v>
      </c>
      <c r="G565" t="str">
        <f>VLOOKUP(F565,'Liste Formations'!$A$5:$B$182,2,FALSE)</f>
        <v>ERP DIVALTO</v>
      </c>
      <c r="H565">
        <v>2</v>
      </c>
    </row>
    <row r="566" spans="1:8" x14ac:dyDescent="0.25">
      <c r="A566">
        <v>318</v>
      </c>
      <c r="B566" t="s">
        <v>82</v>
      </c>
      <c r="C566">
        <v>2018</v>
      </c>
      <c r="F566" s="13">
        <v>1020</v>
      </c>
      <c r="G566" t="str">
        <f>VLOOKUP(F566,'Liste Formations'!$A$5:$B$182,2,FALSE)</f>
        <v>Prévention TMS - Gestes Postures et Nutrition</v>
      </c>
      <c r="H566">
        <v>3.5</v>
      </c>
    </row>
    <row r="567" spans="1:8" x14ac:dyDescent="0.25">
      <c r="A567">
        <v>318</v>
      </c>
      <c r="B567" t="s">
        <v>82</v>
      </c>
      <c r="C567">
        <v>2018</v>
      </c>
      <c r="F567" s="13">
        <v>1021</v>
      </c>
      <c r="G567" t="str">
        <f>VLOOKUP(F567,'Liste Formations'!$A$5:$B$182,2,FALSE)</f>
        <v>Gestion du stress</v>
      </c>
      <c r="H567">
        <v>4</v>
      </c>
    </row>
    <row r="568" spans="1:8" x14ac:dyDescent="0.25">
      <c r="A568">
        <v>318</v>
      </c>
      <c r="B568" t="s">
        <v>82</v>
      </c>
      <c r="C568">
        <v>2019</v>
      </c>
      <c r="F568" s="13">
        <v>1004</v>
      </c>
      <c r="G568" t="str">
        <f>VLOOKUP(F568,'Liste Formations'!$A$5:$B$182,2,FALSE)</f>
        <v>Conduite Chariots Cat.3</v>
      </c>
      <c r="H568">
        <v>7</v>
      </c>
    </row>
    <row r="569" spans="1:8" x14ac:dyDescent="0.25">
      <c r="A569">
        <v>318</v>
      </c>
      <c r="B569" t="s">
        <v>82</v>
      </c>
      <c r="C569">
        <v>2019</v>
      </c>
      <c r="F569" s="13">
        <v>1010</v>
      </c>
      <c r="G569" t="s">
        <v>222</v>
      </c>
      <c r="H569">
        <v>3</v>
      </c>
    </row>
    <row r="570" spans="1:8" x14ac:dyDescent="0.25">
      <c r="A570">
        <v>318</v>
      </c>
      <c r="B570" t="s">
        <v>82</v>
      </c>
      <c r="C570">
        <v>2019</v>
      </c>
      <c r="F570" s="13">
        <v>1009</v>
      </c>
      <c r="G570" t="str">
        <f>VLOOKUP(F570,'Liste Formations'!$A$5:$B$182,2,FALSE)</f>
        <v>Défibrillateur</v>
      </c>
      <c r="H570">
        <v>3</v>
      </c>
    </row>
    <row r="571" spans="1:8" x14ac:dyDescent="0.25">
      <c r="A571">
        <v>318</v>
      </c>
      <c r="B571" t="s">
        <v>82</v>
      </c>
      <c r="C571">
        <v>2019</v>
      </c>
      <c r="F571" s="13">
        <v>1022</v>
      </c>
      <c r="G571" t="str">
        <f>VLOOKUP(F571,'Liste Formations'!$A$5:$B$182,2,FALSE)</f>
        <v>Sensibilisation au bruit</v>
      </c>
      <c r="H571">
        <v>0.16</v>
      </c>
    </row>
    <row r="572" spans="1:8" x14ac:dyDescent="0.25">
      <c r="A572">
        <v>318</v>
      </c>
      <c r="B572" t="s">
        <v>82</v>
      </c>
      <c r="C572">
        <v>2019</v>
      </c>
      <c r="F572" s="13">
        <v>3002</v>
      </c>
      <c r="G572" t="str">
        <f>VLOOKUP(F572,'Liste Formations'!$A$5:$B$182,2,FALSE)</f>
        <v>Poste 507</v>
      </c>
      <c r="H572">
        <v>151.66999999999999</v>
      </c>
    </row>
    <row r="573" spans="1:8" x14ac:dyDescent="0.25">
      <c r="A573">
        <v>318</v>
      </c>
      <c r="B573" t="s">
        <v>82</v>
      </c>
      <c r="C573">
        <v>2019</v>
      </c>
      <c r="F573" s="13">
        <v>3004</v>
      </c>
      <c r="G573" t="str">
        <f>VLOOKUP(F573,'Liste Formations'!$A$5:$B$182,2,FALSE)</f>
        <v>Poste 510</v>
      </c>
      <c r="H573">
        <v>151.66999999999999</v>
      </c>
    </row>
    <row r="574" spans="1:8" x14ac:dyDescent="0.25">
      <c r="A574">
        <v>318</v>
      </c>
      <c r="B574" t="s">
        <v>82</v>
      </c>
      <c r="C574">
        <v>2019</v>
      </c>
      <c r="F574" s="13">
        <v>3006</v>
      </c>
      <c r="G574" t="str">
        <f>VLOOKUP(F574,'Liste Formations'!$A$5:$B$182,2,FALSE)</f>
        <v>Poste 515</v>
      </c>
      <c r="H574">
        <v>151.66999999999999</v>
      </c>
    </row>
    <row r="575" spans="1:8" x14ac:dyDescent="0.25">
      <c r="A575">
        <v>318</v>
      </c>
      <c r="B575" t="s">
        <v>82</v>
      </c>
      <c r="C575">
        <v>2019</v>
      </c>
      <c r="F575" s="13">
        <v>3014</v>
      </c>
      <c r="G575" t="str">
        <f>VLOOKUP(F575,'Liste Formations'!$A$5:$B$182,2,FALSE)</f>
        <v>Poste 902</v>
      </c>
      <c r="H575">
        <v>151.66999999999999</v>
      </c>
    </row>
    <row r="576" spans="1:8" x14ac:dyDescent="0.25">
      <c r="A576">
        <v>318</v>
      </c>
      <c r="B576" t="s">
        <v>82</v>
      </c>
      <c r="C576">
        <v>2020</v>
      </c>
      <c r="F576" s="13">
        <v>3015</v>
      </c>
      <c r="G576" t="str">
        <f>VLOOKUP(F576,'Liste Formations'!$A$5:$B$182,2,FALSE)</f>
        <v>Poste 903</v>
      </c>
      <c r="H576">
        <v>26</v>
      </c>
    </row>
    <row r="577" spans="1:9" x14ac:dyDescent="0.25">
      <c r="A577">
        <v>318</v>
      </c>
      <c r="B577" t="s">
        <v>82</v>
      </c>
      <c r="C577">
        <v>2020</v>
      </c>
      <c r="F577" s="13">
        <v>3026</v>
      </c>
      <c r="G577" t="str">
        <f>VLOOKUP(F577,'Liste Formations'!$A$5:$B$182,2,FALSE)</f>
        <v>Poste 940</v>
      </c>
      <c r="H577">
        <v>96</v>
      </c>
    </row>
    <row r="578" spans="1:9" x14ac:dyDescent="0.25">
      <c r="A578">
        <v>318</v>
      </c>
      <c r="B578" t="s">
        <v>82</v>
      </c>
      <c r="C578">
        <v>2020</v>
      </c>
      <c r="F578" s="13">
        <v>3027</v>
      </c>
      <c r="G578" t="str">
        <f>VLOOKUP(F578,'Liste Formations'!$A$5:$B$182,2,FALSE)</f>
        <v>Poste 941</v>
      </c>
      <c r="H578">
        <v>64</v>
      </c>
    </row>
    <row r="579" spans="1:9" x14ac:dyDescent="0.25">
      <c r="A579">
        <v>318</v>
      </c>
      <c r="B579" t="s">
        <v>82</v>
      </c>
      <c r="C579">
        <v>2020</v>
      </c>
      <c r="F579" s="13">
        <v>3032</v>
      </c>
      <c r="G579" t="str">
        <f>VLOOKUP(F579,'Liste Formations'!$A$5:$B$182,2,FALSE)</f>
        <v>Poste 1100</v>
      </c>
      <c r="H579">
        <v>151.66999999999999</v>
      </c>
    </row>
    <row r="580" spans="1:9" x14ac:dyDescent="0.25">
      <c r="A580">
        <v>318</v>
      </c>
      <c r="B580" t="s">
        <v>82</v>
      </c>
      <c r="C580">
        <v>2020</v>
      </c>
      <c r="F580" s="13">
        <v>3037</v>
      </c>
      <c r="G580" t="str">
        <f>VLOOKUP(F580,'Liste Formations'!$A$5:$B$182,2,FALSE)</f>
        <v>Poste 1121</v>
      </c>
      <c r="H580">
        <v>151.66999999999999</v>
      </c>
    </row>
    <row r="581" spans="1:9" x14ac:dyDescent="0.25">
      <c r="A581">
        <v>318</v>
      </c>
      <c r="B581" t="s">
        <v>82</v>
      </c>
      <c r="C581">
        <v>2021</v>
      </c>
      <c r="F581" s="13">
        <v>3002</v>
      </c>
      <c r="G581" t="str">
        <f>VLOOKUP(F581,'Liste Formations'!$A$5:$B$182,2,FALSE)</f>
        <v>Poste 507</v>
      </c>
      <c r="H581">
        <v>151.66999999999999</v>
      </c>
    </row>
    <row r="582" spans="1:9" x14ac:dyDescent="0.25">
      <c r="A582">
        <v>318</v>
      </c>
      <c r="B582" t="s">
        <v>82</v>
      </c>
      <c r="C582">
        <v>2021</v>
      </c>
      <c r="F582" s="13">
        <v>3015</v>
      </c>
      <c r="G582" t="str">
        <f>VLOOKUP(F582,'Liste Formations'!$A$5:$B$182,2,FALSE)</f>
        <v>Poste 903</v>
      </c>
      <c r="H582">
        <v>151.66999999999999</v>
      </c>
    </row>
    <row r="583" spans="1:9" x14ac:dyDescent="0.25">
      <c r="A583">
        <v>318</v>
      </c>
      <c r="B583" t="s">
        <v>82</v>
      </c>
      <c r="C583">
        <v>2023</v>
      </c>
      <c r="F583" s="13">
        <v>3007</v>
      </c>
      <c r="G583" t="str">
        <f>VLOOKUP(F583,'Liste Formations'!$A$5:$B$182,2,FALSE)</f>
        <v>Poste 516</v>
      </c>
      <c r="H583">
        <v>151.66999999999999</v>
      </c>
    </row>
    <row r="584" spans="1:9" x14ac:dyDescent="0.25">
      <c r="A584">
        <v>318</v>
      </c>
      <c r="B584" t="s">
        <v>82</v>
      </c>
      <c r="C584">
        <v>2024</v>
      </c>
      <c r="F584" s="13">
        <v>1004</v>
      </c>
      <c r="G584" t="str">
        <f>VLOOKUP(F584,'Liste Formations'!$A$5:$B$182,2,FALSE)</f>
        <v>Conduite Chariots Cat.3</v>
      </c>
      <c r="H584">
        <v>7</v>
      </c>
    </row>
    <row r="585" spans="1:9" x14ac:dyDescent="0.25">
      <c r="A585">
        <v>318</v>
      </c>
      <c r="B585" t="s">
        <v>82</v>
      </c>
      <c r="C585">
        <v>2025</v>
      </c>
      <c r="D585" s="18">
        <v>45723</v>
      </c>
      <c r="E585" s="18">
        <v>45754</v>
      </c>
      <c r="F585" s="13">
        <v>3008</v>
      </c>
      <c r="G585" s="15" t="s">
        <v>33</v>
      </c>
      <c r="H585" s="75">
        <v>35</v>
      </c>
      <c r="I585" t="s">
        <v>308</v>
      </c>
    </row>
    <row r="586" spans="1:9" x14ac:dyDescent="0.25">
      <c r="A586">
        <v>318</v>
      </c>
      <c r="B586" t="s">
        <v>82</v>
      </c>
      <c r="C586">
        <v>2025</v>
      </c>
      <c r="D586" s="18">
        <v>45723</v>
      </c>
      <c r="E586" s="18">
        <v>45754</v>
      </c>
      <c r="F586" s="63">
        <v>3048</v>
      </c>
      <c r="G586" s="15" t="s">
        <v>277</v>
      </c>
      <c r="H586" s="75">
        <v>30</v>
      </c>
      <c r="I586" t="s">
        <v>308</v>
      </c>
    </row>
    <row r="587" spans="1:9" x14ac:dyDescent="0.25">
      <c r="A587">
        <v>318</v>
      </c>
      <c r="B587" t="s">
        <v>82</v>
      </c>
      <c r="C587">
        <v>2025</v>
      </c>
      <c r="D587" s="18">
        <v>45814</v>
      </c>
      <c r="E587" s="18">
        <v>45814</v>
      </c>
      <c r="F587" s="13">
        <v>2031</v>
      </c>
      <c r="G587" s="15" t="s">
        <v>180</v>
      </c>
      <c r="H587" s="75">
        <v>2</v>
      </c>
      <c r="I587" t="s">
        <v>304</v>
      </c>
    </row>
    <row r="588" spans="1:9" x14ac:dyDescent="0.25">
      <c r="D588" s="18"/>
      <c r="E588" s="18"/>
      <c r="G588" s="15"/>
    </row>
    <row r="589" spans="1:9" x14ac:dyDescent="0.25">
      <c r="D589" s="18"/>
      <c r="E589" s="18"/>
      <c r="G589" s="15"/>
    </row>
    <row r="590" spans="1:9" x14ac:dyDescent="0.25">
      <c r="A590">
        <v>129</v>
      </c>
      <c r="B590" t="s">
        <v>81</v>
      </c>
      <c r="C590">
        <v>2011</v>
      </c>
      <c r="F590" s="13">
        <v>2001</v>
      </c>
      <c r="G590" t="str">
        <f>VLOOKUP(F590,'Liste Formations'!$A$5:$B$182,2,FALSE)</f>
        <v>IFOCA le mélangeage</v>
      </c>
      <c r="H590">
        <v>42</v>
      </c>
    </row>
    <row r="591" spans="1:9" x14ac:dyDescent="0.25">
      <c r="A591">
        <v>129</v>
      </c>
      <c r="B591" t="s">
        <v>81</v>
      </c>
      <c r="C591">
        <v>2011</v>
      </c>
      <c r="F591" s="13">
        <v>3029</v>
      </c>
      <c r="G591" t="str">
        <f>VLOOKUP(F591,'Liste Formations'!$A$5:$B$182,2,FALSE)</f>
        <v>Poste 1003</v>
      </c>
      <c r="H591">
        <v>151.66999999999999</v>
      </c>
    </row>
    <row r="592" spans="1:9" x14ac:dyDescent="0.25">
      <c r="A592">
        <v>129</v>
      </c>
      <c r="B592" t="s">
        <v>81</v>
      </c>
      <c r="C592">
        <v>2011</v>
      </c>
      <c r="F592" s="13">
        <v>3030</v>
      </c>
      <c r="G592" t="str">
        <f>VLOOKUP(F592,'Liste Formations'!$A$5:$B$182,2,FALSE)</f>
        <v>Poste 1004</v>
      </c>
      <c r="H592">
        <v>151.66999999999999</v>
      </c>
    </row>
    <row r="593" spans="1:8" x14ac:dyDescent="0.25">
      <c r="A593">
        <v>129</v>
      </c>
      <c r="B593" t="s">
        <v>81</v>
      </c>
      <c r="C593">
        <v>2011</v>
      </c>
      <c r="F593" s="13">
        <v>3045</v>
      </c>
      <c r="G593" t="str">
        <f>VLOOKUP(F593,'Liste Formations'!$A$5:$B$182,2,FALSE)</f>
        <v xml:space="preserve">Poste de travail </v>
      </c>
      <c r="H593">
        <v>151.66999999999999</v>
      </c>
    </row>
    <row r="594" spans="1:8" x14ac:dyDescent="0.25">
      <c r="A594">
        <v>129</v>
      </c>
      <c r="B594" t="s">
        <v>81</v>
      </c>
      <c r="C594">
        <v>2011</v>
      </c>
      <c r="F594" s="13">
        <v>3046</v>
      </c>
      <c r="G594" t="str">
        <f>VLOOKUP(F594,'Liste Formations'!$A$5:$B$182,2,FALSE)</f>
        <v>Poste de travail 2</v>
      </c>
      <c r="H594">
        <v>151.66999999999999</v>
      </c>
    </row>
    <row r="595" spans="1:8" x14ac:dyDescent="0.25">
      <c r="A595">
        <v>129</v>
      </c>
      <c r="B595" t="s">
        <v>81</v>
      </c>
      <c r="C595">
        <v>2011</v>
      </c>
      <c r="F595" s="13">
        <v>3047</v>
      </c>
      <c r="G595" t="str">
        <f>VLOOKUP(F595,'Liste Formations'!$A$5:$B$182,2,FALSE)</f>
        <v>Poste de travail 3</v>
      </c>
      <c r="H595">
        <v>151.66999999999999</v>
      </c>
    </row>
    <row r="596" spans="1:8" x14ac:dyDescent="0.25">
      <c r="A596">
        <v>129</v>
      </c>
      <c r="B596" t="s">
        <v>81</v>
      </c>
      <c r="C596">
        <v>2012</v>
      </c>
      <c r="F596" s="13">
        <v>1006</v>
      </c>
      <c r="G596" t="str">
        <f>VLOOKUP(F596,'Liste Formations'!$A$5:$B$182,2,FALSE)</f>
        <v>Habilitation électrique BE Manœuvre BS</v>
      </c>
      <c r="H596">
        <v>7</v>
      </c>
    </row>
    <row r="597" spans="1:8" x14ac:dyDescent="0.25">
      <c r="A597">
        <v>129</v>
      </c>
      <c r="B597" t="s">
        <v>81</v>
      </c>
      <c r="C597">
        <v>2014</v>
      </c>
      <c r="F597" s="13">
        <v>1004</v>
      </c>
      <c r="G597" t="str">
        <f>VLOOKUP(F597,'Liste Formations'!$A$5:$B$182,2,FALSE)</f>
        <v>Conduite Chariots Cat.3</v>
      </c>
      <c r="H597">
        <v>7</v>
      </c>
    </row>
    <row r="598" spans="1:8" x14ac:dyDescent="0.25">
      <c r="A598">
        <v>129</v>
      </c>
      <c r="B598" t="s">
        <v>81</v>
      </c>
      <c r="C598">
        <v>2014</v>
      </c>
      <c r="F598" s="13">
        <v>3029</v>
      </c>
      <c r="G598" t="str">
        <f>VLOOKUP(F598,'Liste Formations'!$A$5:$B$182,2,FALSE)</f>
        <v>Poste 1003</v>
      </c>
      <c r="H598">
        <v>151.66999999999999</v>
      </c>
    </row>
    <row r="599" spans="1:8" x14ac:dyDescent="0.25">
      <c r="A599">
        <v>129</v>
      </c>
      <c r="B599" t="s">
        <v>81</v>
      </c>
      <c r="C599">
        <v>2014</v>
      </c>
      <c r="F599" s="13">
        <v>3030</v>
      </c>
      <c r="G599" t="str">
        <f>VLOOKUP(F599,'Liste Formations'!$A$5:$B$182,2,FALSE)</f>
        <v>Poste 1004</v>
      </c>
      <c r="H599">
        <v>151.66999999999999</v>
      </c>
    </row>
    <row r="600" spans="1:8" x14ac:dyDescent="0.25">
      <c r="A600">
        <v>129</v>
      </c>
      <c r="B600" t="s">
        <v>81</v>
      </c>
      <c r="C600">
        <v>2014</v>
      </c>
      <c r="F600" s="13">
        <v>3046</v>
      </c>
      <c r="G600" t="str">
        <f>VLOOKUP(F600,'Liste Formations'!$A$5:$B$182,2,FALSE)</f>
        <v>Poste de travail 2</v>
      </c>
      <c r="H600">
        <v>151.66999999999999</v>
      </c>
    </row>
    <row r="601" spans="1:8" x14ac:dyDescent="0.25">
      <c r="A601">
        <v>129</v>
      </c>
      <c r="B601" t="s">
        <v>81</v>
      </c>
      <c r="C601">
        <v>2014</v>
      </c>
      <c r="F601" s="13">
        <v>3047</v>
      </c>
      <c r="G601" t="str">
        <f>VLOOKUP(F601,'Liste Formations'!$A$5:$B$182,2,FALSE)</f>
        <v>Poste de travail 3</v>
      </c>
      <c r="H601">
        <v>151.66999999999999</v>
      </c>
    </row>
    <row r="602" spans="1:8" x14ac:dyDescent="0.25">
      <c r="A602">
        <v>129</v>
      </c>
      <c r="B602" t="s">
        <v>81</v>
      </c>
      <c r="C602">
        <v>2015</v>
      </c>
      <c r="F602" s="13">
        <v>3044</v>
      </c>
      <c r="G602" t="str">
        <f>VLOOKUP(F602,'Liste Formations'!$A$5:$B$182,2,FALSE)</f>
        <v>Poste Ponceuse Découpe</v>
      </c>
      <c r="H602">
        <v>151.66999999999999</v>
      </c>
    </row>
    <row r="603" spans="1:8" x14ac:dyDescent="0.25">
      <c r="A603">
        <v>129</v>
      </c>
      <c r="B603" t="s">
        <v>81</v>
      </c>
      <c r="C603">
        <v>2015</v>
      </c>
      <c r="F603" s="13">
        <v>2005</v>
      </c>
      <c r="G603" t="str">
        <f>VLOOKUP(F603,'Liste Formations'!$A$5:$B$182,2,FALSE)</f>
        <v>Formation LEAN</v>
      </c>
      <c r="H603">
        <v>2</v>
      </c>
    </row>
    <row r="604" spans="1:8" x14ac:dyDescent="0.25">
      <c r="A604">
        <v>129</v>
      </c>
      <c r="B604" t="s">
        <v>81</v>
      </c>
      <c r="C604">
        <v>2015</v>
      </c>
      <c r="F604" s="13">
        <v>1009</v>
      </c>
      <c r="G604" t="str">
        <f>VLOOKUP(F604,'Liste Formations'!$A$5:$B$182,2,FALSE)</f>
        <v>Défibrillateur</v>
      </c>
      <c r="H604">
        <v>3</v>
      </c>
    </row>
    <row r="605" spans="1:8" x14ac:dyDescent="0.25">
      <c r="A605">
        <v>129</v>
      </c>
      <c r="B605" t="s">
        <v>81</v>
      </c>
      <c r="C605">
        <v>2016</v>
      </c>
      <c r="F605" s="13">
        <v>2007</v>
      </c>
      <c r="G605" t="str">
        <f>VLOOKUP(F605,'Liste Formations'!$A$5:$B$182,2,FALSE)</f>
        <v>ERP DIVALTO</v>
      </c>
      <c r="H605">
        <v>21</v>
      </c>
    </row>
    <row r="606" spans="1:8" x14ac:dyDescent="0.25">
      <c r="A606">
        <v>129</v>
      </c>
      <c r="B606" t="s">
        <v>81</v>
      </c>
      <c r="C606">
        <v>2016</v>
      </c>
      <c r="F606" s="13">
        <v>3029</v>
      </c>
      <c r="G606" t="str">
        <f>VLOOKUP(F606,'Liste Formations'!$A$5:$B$182,2,FALSE)</f>
        <v>Poste 1003</v>
      </c>
      <c r="H606">
        <v>151.66999999999999</v>
      </c>
    </row>
    <row r="607" spans="1:8" x14ac:dyDescent="0.25">
      <c r="A607">
        <v>129</v>
      </c>
      <c r="B607" t="s">
        <v>81</v>
      </c>
      <c r="C607">
        <v>2016</v>
      </c>
      <c r="F607" s="13">
        <v>3030</v>
      </c>
      <c r="G607" t="str">
        <f>VLOOKUP(F607,'Liste Formations'!$A$5:$B$182,2,FALSE)</f>
        <v>Poste 1004</v>
      </c>
      <c r="H607">
        <v>151.66999999999999</v>
      </c>
    </row>
    <row r="608" spans="1:8" x14ac:dyDescent="0.25">
      <c r="A608">
        <v>129</v>
      </c>
      <c r="B608" t="s">
        <v>81</v>
      </c>
      <c r="C608">
        <v>2016</v>
      </c>
      <c r="F608" s="13">
        <v>3046</v>
      </c>
      <c r="G608" t="str">
        <f>VLOOKUP(F608,'Liste Formations'!$A$5:$B$182,2,FALSE)</f>
        <v>Poste de travail 2</v>
      </c>
      <c r="H608">
        <v>151.66999999999999</v>
      </c>
    </row>
    <row r="609" spans="1:8" x14ac:dyDescent="0.25">
      <c r="A609">
        <v>129</v>
      </c>
      <c r="B609" t="s">
        <v>81</v>
      </c>
      <c r="C609">
        <v>2016</v>
      </c>
      <c r="F609" s="13">
        <v>3047</v>
      </c>
      <c r="G609" t="str">
        <f>VLOOKUP(F609,'Liste Formations'!$A$5:$B$182,2,FALSE)</f>
        <v>Poste de travail 3</v>
      </c>
      <c r="H609">
        <v>151.66999999999999</v>
      </c>
    </row>
    <row r="610" spans="1:8" x14ac:dyDescent="0.25">
      <c r="A610">
        <v>129</v>
      </c>
      <c r="B610" t="s">
        <v>81</v>
      </c>
      <c r="C610">
        <v>2017</v>
      </c>
      <c r="F610" s="13">
        <v>2007</v>
      </c>
      <c r="G610" t="str">
        <f>VLOOKUP(F610,'Liste Formations'!$A$5:$B$182,2,FALSE)</f>
        <v>ERP DIVALTO</v>
      </c>
      <c r="H610">
        <v>14</v>
      </c>
    </row>
    <row r="611" spans="1:8" x14ac:dyDescent="0.25">
      <c r="A611">
        <v>129</v>
      </c>
      <c r="B611" t="s">
        <v>81</v>
      </c>
      <c r="C611">
        <v>2017</v>
      </c>
      <c r="F611" s="13">
        <v>3045</v>
      </c>
      <c r="G611" t="str">
        <f>VLOOKUP(F611,'Liste Formations'!$A$5:$B$182,2,FALSE)</f>
        <v xml:space="preserve">Poste de travail </v>
      </c>
      <c r="H611">
        <v>151.66999999999999</v>
      </c>
    </row>
    <row r="612" spans="1:8" x14ac:dyDescent="0.25">
      <c r="A612">
        <v>129</v>
      </c>
      <c r="B612" t="s">
        <v>81</v>
      </c>
      <c r="C612">
        <v>2019</v>
      </c>
      <c r="F612" s="13">
        <v>1004</v>
      </c>
      <c r="G612" t="str">
        <f>VLOOKUP(F612,'Liste Formations'!$A$5:$B$182,2,FALSE)</f>
        <v>Conduite Chariots Cat.3</v>
      </c>
      <c r="H612">
        <v>7</v>
      </c>
    </row>
    <row r="613" spans="1:8" x14ac:dyDescent="0.25">
      <c r="A613">
        <v>129</v>
      </c>
      <c r="B613" t="s">
        <v>81</v>
      </c>
      <c r="C613">
        <v>2023</v>
      </c>
      <c r="F613" s="13">
        <v>1010</v>
      </c>
      <c r="G613" t="s">
        <v>222</v>
      </c>
      <c r="H613">
        <v>2</v>
      </c>
    </row>
    <row r="614" spans="1:8" x14ac:dyDescent="0.25">
      <c r="A614">
        <v>129</v>
      </c>
      <c r="B614" t="s">
        <v>81</v>
      </c>
      <c r="C614">
        <v>2023</v>
      </c>
      <c r="F614" s="13">
        <v>1009</v>
      </c>
      <c r="G614" t="str">
        <f>VLOOKUP(F614,'Liste Formations'!$A$5:$B$182,2,FALSE)</f>
        <v>Défibrillateur</v>
      </c>
      <c r="H614">
        <v>2</v>
      </c>
    </row>
    <row r="615" spans="1:8" x14ac:dyDescent="0.25">
      <c r="A615">
        <v>129</v>
      </c>
      <c r="B615" t="s">
        <v>81</v>
      </c>
      <c r="C615">
        <v>2023</v>
      </c>
      <c r="F615" s="13">
        <v>2040</v>
      </c>
      <c r="G615" t="str">
        <f>VLOOKUP(F615,'Liste Formations'!$A$5:$B$182,2,FALSE)</f>
        <v xml:space="preserve">Anglais </v>
      </c>
      <c r="H615">
        <v>21</v>
      </c>
    </row>
    <row r="616" spans="1:8" x14ac:dyDescent="0.25">
      <c r="A616">
        <v>129</v>
      </c>
      <c r="B616" t="s">
        <v>81</v>
      </c>
      <c r="C616">
        <v>2024</v>
      </c>
      <c r="F616" s="13">
        <v>2040</v>
      </c>
      <c r="G616" t="str">
        <f>VLOOKUP(F616,'Liste Formations'!$A$5:$B$182,2,FALSE)</f>
        <v xml:space="preserve">Anglais </v>
      </c>
      <c r="H616">
        <v>9</v>
      </c>
    </row>
    <row r="617" spans="1:8" x14ac:dyDescent="0.25">
      <c r="A617">
        <v>129</v>
      </c>
      <c r="B617" t="s">
        <v>81</v>
      </c>
      <c r="C617">
        <v>2024</v>
      </c>
      <c r="F617" s="13">
        <v>2041</v>
      </c>
      <c r="G617" t="str">
        <f>VLOOKUP(F617,'Liste Formations'!$A$5:$B$182,2,FALSE)</f>
        <v>Excel</v>
      </c>
      <c r="H617">
        <v>14</v>
      </c>
    </row>
    <row r="620" spans="1:8" x14ac:dyDescent="0.25">
      <c r="A620">
        <v>388</v>
      </c>
      <c r="B620" t="s">
        <v>83</v>
      </c>
      <c r="C620">
        <v>2019</v>
      </c>
      <c r="F620" s="13">
        <v>1010</v>
      </c>
      <c r="G620" t="s">
        <v>222</v>
      </c>
      <c r="H620">
        <v>4</v>
      </c>
    </row>
    <row r="621" spans="1:8" x14ac:dyDescent="0.25">
      <c r="A621">
        <v>388</v>
      </c>
      <c r="B621" t="s">
        <v>83</v>
      </c>
      <c r="C621">
        <v>2019</v>
      </c>
      <c r="F621" s="13">
        <v>1009</v>
      </c>
      <c r="G621" t="str">
        <f>VLOOKUP(F621,'Liste Formations'!$A$5:$B$182,2,FALSE)</f>
        <v>Défibrillateur</v>
      </c>
      <c r="H621">
        <v>4</v>
      </c>
    </row>
    <row r="622" spans="1:8" x14ac:dyDescent="0.25">
      <c r="A622">
        <v>388</v>
      </c>
      <c r="B622" t="s">
        <v>83</v>
      </c>
      <c r="C622">
        <v>2019</v>
      </c>
      <c r="F622" s="13">
        <v>3040</v>
      </c>
      <c r="G622" t="str">
        <f>VLOOKUP(F622,'Liste Formations'!$A$5:$B$182,2,FALSE)</f>
        <v>Poste 1404</v>
      </c>
      <c r="H622">
        <v>151.66999999999999</v>
      </c>
    </row>
    <row r="623" spans="1:8" x14ac:dyDescent="0.25">
      <c r="A623">
        <v>388</v>
      </c>
      <c r="B623" t="s">
        <v>83</v>
      </c>
      <c r="C623">
        <v>2021</v>
      </c>
      <c r="F623" s="13">
        <v>1002</v>
      </c>
      <c r="G623" t="str">
        <f>VLOOKUP(F623,'Liste Formations'!$A$5:$B$182,2,FALSE)</f>
        <v>Conduite Chariots Cat.3 et Cat.5</v>
      </c>
      <c r="H623">
        <v>7</v>
      </c>
    </row>
    <row r="624" spans="1:8" x14ac:dyDescent="0.25">
      <c r="A624">
        <v>388</v>
      </c>
      <c r="B624" t="s">
        <v>83</v>
      </c>
      <c r="C624">
        <v>2021</v>
      </c>
      <c r="F624" s="13">
        <v>3038</v>
      </c>
      <c r="G624" t="str">
        <f>VLOOKUP(F624,'Liste Formations'!$A$5:$B$182,2,FALSE)</f>
        <v>Poste 1401</v>
      </c>
      <c r="H624">
        <v>151.66999999999999</v>
      </c>
    </row>
    <row r="625" spans="1:9" x14ac:dyDescent="0.25">
      <c r="A625">
        <v>388</v>
      </c>
      <c r="B625" t="s">
        <v>83</v>
      </c>
      <c r="C625">
        <v>2021</v>
      </c>
      <c r="F625" s="13">
        <v>3039</v>
      </c>
      <c r="G625" t="str">
        <f>VLOOKUP(F625,'Liste Formations'!$A$5:$B$182,2,FALSE)</f>
        <v>Poste 1402</v>
      </c>
      <c r="H625">
        <v>151.66999999999999</v>
      </c>
    </row>
    <row r="626" spans="1:9" x14ac:dyDescent="0.25">
      <c r="A626">
        <v>388</v>
      </c>
      <c r="B626" t="s">
        <v>83</v>
      </c>
      <c r="C626">
        <v>2021</v>
      </c>
      <c r="F626" s="13">
        <v>3042</v>
      </c>
      <c r="G626" t="str">
        <f>VLOOKUP(F626,'Liste Formations'!$A$5:$B$182,2,FALSE)</f>
        <v>Poste 1406</v>
      </c>
      <c r="H626">
        <v>151.66999999999999</v>
      </c>
    </row>
    <row r="627" spans="1:9" x14ac:dyDescent="0.25">
      <c r="A627">
        <v>388</v>
      </c>
      <c r="B627" t="s">
        <v>83</v>
      </c>
      <c r="C627">
        <v>2023</v>
      </c>
      <c r="F627" s="13">
        <v>1002</v>
      </c>
      <c r="G627" t="str">
        <f>VLOOKUP(F627,'Liste Formations'!$A$5:$B$182,2,FALSE)</f>
        <v>Conduite Chariots Cat.3 et Cat.5</v>
      </c>
      <c r="H627">
        <v>14</v>
      </c>
    </row>
    <row r="628" spans="1:9" x14ac:dyDescent="0.25">
      <c r="A628">
        <v>388</v>
      </c>
      <c r="B628" t="s">
        <v>83</v>
      </c>
      <c r="C628">
        <v>2023</v>
      </c>
      <c r="F628" s="13">
        <v>1012</v>
      </c>
      <c r="G628" t="str">
        <f>VLOOKUP(F628,'Liste Formations'!$A$5:$B$182,2,FALSE)</f>
        <v>ATEX Niveau 0 - Sensibilisation</v>
      </c>
      <c r="H628">
        <v>3.5</v>
      </c>
    </row>
    <row r="629" spans="1:9" x14ac:dyDescent="0.25">
      <c r="A629">
        <v>388</v>
      </c>
      <c r="B629" t="s">
        <v>83</v>
      </c>
      <c r="C629">
        <v>2024</v>
      </c>
      <c r="F629" s="13">
        <v>1006</v>
      </c>
      <c r="G629" t="str">
        <f>VLOOKUP(F629,'Liste Formations'!$A$5:$B$182,2,FALSE)</f>
        <v>Habilitation électrique BE Manœuvre BS</v>
      </c>
      <c r="H629">
        <v>14</v>
      </c>
    </row>
    <row r="630" spans="1:9" x14ac:dyDescent="0.25">
      <c r="A630">
        <v>388</v>
      </c>
      <c r="B630" t="s">
        <v>83</v>
      </c>
      <c r="C630">
        <v>2024</v>
      </c>
      <c r="F630" s="13">
        <v>1020</v>
      </c>
      <c r="G630" t="str">
        <f>VLOOKUP(F630,'Liste Formations'!$A$5:$B$182,2,FALSE)</f>
        <v>Prévention TMS - Gestes Postures et Nutrition</v>
      </c>
      <c r="H630">
        <v>3.5</v>
      </c>
    </row>
    <row r="631" spans="1:9" x14ac:dyDescent="0.25">
      <c r="A631">
        <v>388</v>
      </c>
      <c r="B631" t="s">
        <v>83</v>
      </c>
      <c r="C631">
        <v>2024</v>
      </c>
      <c r="F631" s="13">
        <v>3001</v>
      </c>
      <c r="G631" t="str">
        <f>VLOOKUP(F631,'Liste Formations'!$A$5:$B$182,2,FALSE)</f>
        <v>Poste 506</v>
      </c>
      <c r="H631">
        <v>140</v>
      </c>
    </row>
    <row r="632" spans="1:9" x14ac:dyDescent="0.25">
      <c r="A632">
        <v>388</v>
      </c>
      <c r="B632" t="s">
        <v>83</v>
      </c>
      <c r="C632">
        <v>2024</v>
      </c>
      <c r="F632" s="13">
        <v>3002</v>
      </c>
      <c r="G632" t="str">
        <f>VLOOKUP(F632,'Liste Formations'!$A$5:$B$182,2,FALSE)</f>
        <v>Poste 507</v>
      </c>
      <c r="H632">
        <v>6</v>
      </c>
    </row>
    <row r="633" spans="1:9" x14ac:dyDescent="0.25">
      <c r="A633">
        <v>388</v>
      </c>
      <c r="B633" t="s">
        <v>83</v>
      </c>
      <c r="C633">
        <v>2024</v>
      </c>
      <c r="F633" s="13">
        <v>3006</v>
      </c>
      <c r="G633" t="str">
        <f>VLOOKUP(F633,'Liste Formations'!$A$5:$B$182,2,FALSE)</f>
        <v>Poste 515</v>
      </c>
      <c r="H633">
        <v>70</v>
      </c>
    </row>
    <row r="634" spans="1:9" x14ac:dyDescent="0.25">
      <c r="A634">
        <v>388</v>
      </c>
      <c r="B634" t="s">
        <v>83</v>
      </c>
      <c r="C634">
        <v>2024</v>
      </c>
      <c r="F634" s="13">
        <v>3037</v>
      </c>
      <c r="G634" t="str">
        <f>VLOOKUP(F634,'Liste Formations'!$A$5:$B$182,2,FALSE)</f>
        <v>Poste 1121</v>
      </c>
      <c r="H634">
        <v>35</v>
      </c>
    </row>
    <row r="635" spans="1:9" x14ac:dyDescent="0.25">
      <c r="A635">
        <v>388</v>
      </c>
      <c r="B635" t="s">
        <v>83</v>
      </c>
      <c r="C635">
        <v>2024</v>
      </c>
      <c r="F635" s="13">
        <v>3043</v>
      </c>
      <c r="G635" t="str">
        <f>VLOOKUP(F635,'Liste Formations'!$A$5:$B$182,2,FALSE)</f>
        <v>Poste 1412</v>
      </c>
      <c r="H635">
        <v>151.66999999999999</v>
      </c>
    </row>
    <row r="636" spans="1:9" x14ac:dyDescent="0.25">
      <c r="A636">
        <v>388</v>
      </c>
      <c r="B636" t="s">
        <v>83</v>
      </c>
      <c r="C636">
        <v>2025</v>
      </c>
      <c r="D636" s="18">
        <v>45755</v>
      </c>
      <c r="E636" s="18">
        <v>45755</v>
      </c>
      <c r="F636" s="13">
        <v>2031</v>
      </c>
      <c r="G636" s="15" t="s">
        <v>180</v>
      </c>
      <c r="H636" s="75">
        <v>2.5</v>
      </c>
      <c r="I636" t="s">
        <v>304</v>
      </c>
    </row>
    <row r="637" spans="1:9" x14ac:dyDescent="0.25">
      <c r="D637" s="18"/>
      <c r="E637" s="18"/>
      <c r="G637" s="15"/>
    </row>
    <row r="638" spans="1:9" x14ac:dyDescent="0.25">
      <c r="D638" s="18"/>
      <c r="E638" s="18"/>
      <c r="G638" s="15"/>
    </row>
    <row r="639" spans="1:9" x14ac:dyDescent="0.25">
      <c r="A639">
        <v>443</v>
      </c>
      <c r="B639" t="s">
        <v>84</v>
      </c>
      <c r="C639">
        <v>2022</v>
      </c>
      <c r="F639" s="13">
        <v>3042</v>
      </c>
      <c r="G639" t="str">
        <f>VLOOKUP(F639,'Liste Formations'!$A$5:$B$182,2,FALSE)</f>
        <v>Poste 1406</v>
      </c>
      <c r="H639">
        <v>151.66999999999999</v>
      </c>
    </row>
    <row r="640" spans="1:9" x14ac:dyDescent="0.25">
      <c r="A640">
        <v>443</v>
      </c>
      <c r="B640" t="s">
        <v>84</v>
      </c>
      <c r="C640">
        <v>2023</v>
      </c>
      <c r="F640" s="13">
        <v>3039</v>
      </c>
      <c r="G640" t="str">
        <f>VLOOKUP(F640,'Liste Formations'!$A$5:$B$182,2,FALSE)</f>
        <v>Poste 1402</v>
      </c>
      <c r="H640">
        <v>151.66999999999999</v>
      </c>
    </row>
    <row r="641" spans="1:8" x14ac:dyDescent="0.25">
      <c r="A641">
        <v>443</v>
      </c>
      <c r="B641" t="s">
        <v>84</v>
      </c>
      <c r="C641">
        <v>2023</v>
      </c>
      <c r="F641" s="13">
        <v>1004</v>
      </c>
      <c r="G641" t="str">
        <f>VLOOKUP(F641,'Liste Formations'!$A$5:$B$182,2,FALSE)</f>
        <v>Conduite Chariots Cat.3</v>
      </c>
      <c r="H641">
        <v>10.5</v>
      </c>
    </row>
    <row r="642" spans="1:8" x14ac:dyDescent="0.25">
      <c r="A642">
        <v>443</v>
      </c>
      <c r="B642" t="s">
        <v>84</v>
      </c>
      <c r="C642">
        <v>2024</v>
      </c>
      <c r="F642" s="13">
        <v>3006</v>
      </c>
      <c r="G642" t="str">
        <f>VLOOKUP(F642,'Liste Formations'!$A$5:$B$182,2,FALSE)</f>
        <v>Poste 515</v>
      </c>
      <c r="H642">
        <v>70</v>
      </c>
    </row>
    <row r="643" spans="1:8" x14ac:dyDescent="0.25">
      <c r="A643">
        <v>443</v>
      </c>
      <c r="B643" t="s">
        <v>84</v>
      </c>
      <c r="C643">
        <v>2024</v>
      </c>
      <c r="F643" s="13">
        <v>3040</v>
      </c>
      <c r="G643" t="str">
        <f>VLOOKUP(F643,'Liste Formations'!$A$5:$B$182,2,FALSE)</f>
        <v>Poste 1404</v>
      </c>
      <c r="H643">
        <v>105</v>
      </c>
    </row>
    <row r="646" spans="1:8" x14ac:dyDescent="0.25">
      <c r="A646">
        <v>476</v>
      </c>
      <c r="B646" t="s">
        <v>85</v>
      </c>
      <c r="C646">
        <v>2023</v>
      </c>
      <c r="F646" s="13">
        <v>3008</v>
      </c>
      <c r="G646" t="str">
        <f>VLOOKUP(F646,'Liste Formations'!$A$5:$B$182,2,FALSE)</f>
        <v>Poste 560</v>
      </c>
      <c r="H646">
        <v>151.66999999999999</v>
      </c>
    </row>
    <row r="647" spans="1:8" x14ac:dyDescent="0.25">
      <c r="A647">
        <v>476</v>
      </c>
      <c r="B647" t="s">
        <v>85</v>
      </c>
      <c r="C647">
        <v>2023</v>
      </c>
      <c r="F647" s="13">
        <v>3032</v>
      </c>
      <c r="G647" t="str">
        <f>VLOOKUP(F647,'Liste Formations'!$A$5:$B$182,2,FALSE)</f>
        <v>Poste 1100</v>
      </c>
      <c r="H647">
        <v>48</v>
      </c>
    </row>
    <row r="648" spans="1:8" x14ac:dyDescent="0.25">
      <c r="A648">
        <v>476</v>
      </c>
      <c r="B648" t="s">
        <v>85</v>
      </c>
      <c r="C648">
        <v>2023</v>
      </c>
      <c r="F648" s="13">
        <v>3034</v>
      </c>
      <c r="G648" t="str">
        <f>VLOOKUP(F648,'Liste Formations'!$A$5:$B$182,2,FALSE)</f>
        <v>Poste 1103</v>
      </c>
      <c r="H648">
        <v>151.66999999999999</v>
      </c>
    </row>
    <row r="651" spans="1:8" x14ac:dyDescent="0.25">
      <c r="A651">
        <v>471</v>
      </c>
      <c r="B651" t="s">
        <v>86</v>
      </c>
      <c r="C651">
        <v>2023</v>
      </c>
      <c r="F651" s="13">
        <v>1001</v>
      </c>
      <c r="G651" t="str">
        <f>VLOOKUP(F651,'Liste Formations'!$A$5:$B$182,2,FALSE)</f>
        <v>Conduite nacelle CACES R486A  Plate forme mobile</v>
      </c>
      <c r="H651">
        <v>21</v>
      </c>
    </row>
    <row r="652" spans="1:8" x14ac:dyDescent="0.25">
      <c r="A652">
        <v>471</v>
      </c>
      <c r="B652" t="s">
        <v>86</v>
      </c>
      <c r="C652">
        <v>2023</v>
      </c>
      <c r="F652" s="13">
        <v>1002</v>
      </c>
      <c r="G652" t="str">
        <f>VLOOKUP(F652,'Liste Formations'!$A$5:$B$182,2,FALSE)</f>
        <v>Conduite Chariots Cat.3 et Cat.5</v>
      </c>
      <c r="H652">
        <v>14</v>
      </c>
    </row>
    <row r="653" spans="1:8" x14ac:dyDescent="0.25">
      <c r="A653">
        <v>471</v>
      </c>
      <c r="B653" t="s">
        <v>86</v>
      </c>
      <c r="C653">
        <v>2023</v>
      </c>
      <c r="F653" s="13">
        <v>1010</v>
      </c>
      <c r="G653" t="s">
        <v>222</v>
      </c>
      <c r="H653">
        <v>2</v>
      </c>
    </row>
    <row r="654" spans="1:8" x14ac:dyDescent="0.25">
      <c r="A654">
        <v>471</v>
      </c>
      <c r="B654" t="s">
        <v>86</v>
      </c>
      <c r="C654">
        <v>2023</v>
      </c>
      <c r="F654" s="13">
        <v>1009</v>
      </c>
      <c r="G654" t="str">
        <f>VLOOKUP(F654,'Liste Formations'!$A$5:$B$182,2,FALSE)</f>
        <v>Défibrillateur</v>
      </c>
      <c r="H654">
        <v>2</v>
      </c>
    </row>
    <row r="655" spans="1:8" x14ac:dyDescent="0.25">
      <c r="A655">
        <v>471</v>
      </c>
      <c r="B655" t="s">
        <v>86</v>
      </c>
      <c r="C655">
        <v>2023</v>
      </c>
      <c r="F655" s="13">
        <v>1012</v>
      </c>
      <c r="G655" t="str">
        <f>VLOOKUP(F655,'Liste Formations'!$A$5:$B$182,2,FALSE)</f>
        <v>ATEX Niveau 0 - Sensibilisation</v>
      </c>
      <c r="H655">
        <v>3.5</v>
      </c>
    </row>
    <row r="656" spans="1:8" x14ac:dyDescent="0.25">
      <c r="A656">
        <v>471</v>
      </c>
      <c r="B656" t="s">
        <v>86</v>
      </c>
      <c r="C656">
        <v>2023</v>
      </c>
      <c r="F656" s="13">
        <v>1024</v>
      </c>
      <c r="G656" t="str">
        <f>VLOOKUP(F656,'Liste Formations'!$A$5:$B$182,2,FALSE)</f>
        <v>Déversement granulés</v>
      </c>
      <c r="H656">
        <v>0.5</v>
      </c>
    </row>
    <row r="657" spans="1:9" x14ac:dyDescent="0.25">
      <c r="A657">
        <v>471</v>
      </c>
      <c r="B657" t="s">
        <v>86</v>
      </c>
      <c r="C657">
        <v>2024</v>
      </c>
      <c r="F657" s="13">
        <v>1016</v>
      </c>
      <c r="G657" t="str">
        <f>VLOOKUP(F657,'Liste Formations'!$A$5:$B$182,2,FALSE)</f>
        <v>S.S.T. Sauveteurs Secourites du Travail</v>
      </c>
      <c r="H657">
        <v>14</v>
      </c>
    </row>
    <row r="658" spans="1:9" x14ac:dyDescent="0.25">
      <c r="A658">
        <v>471</v>
      </c>
      <c r="B658" t="s">
        <v>86</v>
      </c>
      <c r="C658">
        <v>2024</v>
      </c>
      <c r="F658" s="13">
        <v>1020</v>
      </c>
      <c r="G658" t="str">
        <f>VLOOKUP(F658,'Liste Formations'!$A$5:$B$182,2,FALSE)</f>
        <v>Prévention TMS - Gestes Postures et Nutrition</v>
      </c>
      <c r="H658">
        <v>3.5</v>
      </c>
      <c r="I658" s="13"/>
    </row>
    <row r="659" spans="1:9" x14ac:dyDescent="0.25">
      <c r="A659">
        <v>471</v>
      </c>
      <c r="B659" t="s">
        <v>86</v>
      </c>
      <c r="C659">
        <v>2024</v>
      </c>
      <c r="F659" s="13">
        <v>1032</v>
      </c>
      <c r="G659" t="s">
        <v>210</v>
      </c>
      <c r="H659">
        <v>2</v>
      </c>
      <c r="I659" s="13"/>
    </row>
    <row r="660" spans="1:9" x14ac:dyDescent="0.25">
      <c r="I660" s="13"/>
    </row>
    <row r="661" spans="1:9" x14ac:dyDescent="0.25">
      <c r="I661" s="13"/>
    </row>
    <row r="662" spans="1:9" x14ac:dyDescent="0.25">
      <c r="A662">
        <v>466</v>
      </c>
      <c r="B662" t="s">
        <v>87</v>
      </c>
      <c r="C662">
        <v>2023</v>
      </c>
      <c r="F662" s="13">
        <v>3001</v>
      </c>
      <c r="G662" t="str">
        <f>VLOOKUP(F662,'Liste Formations'!$A$5:$B$182,2,FALSE)</f>
        <v>Poste 506</v>
      </c>
      <c r="H662">
        <v>151.66999999999999</v>
      </c>
    </row>
    <row r="663" spans="1:9" x14ac:dyDescent="0.25">
      <c r="A663">
        <v>466</v>
      </c>
      <c r="B663" t="s">
        <v>87</v>
      </c>
      <c r="C663">
        <v>2024</v>
      </c>
      <c r="F663" s="13">
        <v>1002</v>
      </c>
      <c r="G663" t="s">
        <v>204</v>
      </c>
      <c r="H663">
        <v>14</v>
      </c>
    </row>
    <row r="664" spans="1:9" x14ac:dyDescent="0.25">
      <c r="A664">
        <v>466</v>
      </c>
      <c r="B664" t="s">
        <v>87</v>
      </c>
      <c r="C664">
        <v>2024</v>
      </c>
      <c r="F664" s="13">
        <v>1020</v>
      </c>
      <c r="G664" t="str">
        <f>VLOOKUP(F664,'Liste Formations'!$A$5:$B$182,2,FALSE)</f>
        <v>Prévention TMS - Gestes Postures et Nutrition</v>
      </c>
      <c r="H664">
        <v>3.5</v>
      </c>
    </row>
    <row r="665" spans="1:9" x14ac:dyDescent="0.25">
      <c r="A665">
        <v>466</v>
      </c>
      <c r="B665" t="s">
        <v>87</v>
      </c>
      <c r="C665">
        <v>2024</v>
      </c>
      <c r="D665" s="18">
        <v>45642</v>
      </c>
      <c r="E665" s="18">
        <v>45643</v>
      </c>
      <c r="F665" s="13">
        <v>1006</v>
      </c>
      <c r="G665" t="str">
        <f>VLOOKUP(F665,'Liste Formations'!$A$5:$B$182,2,FALSE)</f>
        <v>Habilitation électrique BE Manœuvre BS</v>
      </c>
      <c r="H665">
        <v>14</v>
      </c>
    </row>
    <row r="666" spans="1:9" x14ac:dyDescent="0.25">
      <c r="A666">
        <v>466</v>
      </c>
      <c r="B666" t="s">
        <v>87</v>
      </c>
      <c r="C666">
        <v>2025</v>
      </c>
      <c r="D666" s="18">
        <v>45919</v>
      </c>
      <c r="E666" s="18">
        <v>45926</v>
      </c>
      <c r="F666" s="13">
        <v>1016</v>
      </c>
      <c r="G666" t="s">
        <v>207</v>
      </c>
      <c r="H666">
        <v>14</v>
      </c>
      <c r="I666" t="s">
        <v>314</v>
      </c>
    </row>
    <row r="667" spans="1:9" x14ac:dyDescent="0.25">
      <c r="D667" s="18"/>
      <c r="E667" s="18"/>
    </row>
    <row r="668" spans="1:9" x14ac:dyDescent="0.25">
      <c r="D668" s="18"/>
      <c r="E668" s="18"/>
    </row>
    <row r="669" spans="1:9" x14ac:dyDescent="0.25">
      <c r="A669">
        <v>256</v>
      </c>
      <c r="B669" t="s">
        <v>88</v>
      </c>
      <c r="C669">
        <v>2010</v>
      </c>
      <c r="F669" s="13">
        <v>1007</v>
      </c>
      <c r="G669" t="str">
        <f>VLOOKUP(F669,'Liste Formations'!$A$5:$B$182,2,FALSE)</f>
        <v>Habilitation électrique BR/BC/B2V/HOV</v>
      </c>
      <c r="H669">
        <v>14</v>
      </c>
    </row>
    <row r="670" spans="1:9" x14ac:dyDescent="0.25">
      <c r="A670">
        <v>256</v>
      </c>
      <c r="B670" t="s">
        <v>88</v>
      </c>
      <c r="C670">
        <v>2010</v>
      </c>
      <c r="F670" s="13">
        <v>1014</v>
      </c>
      <c r="G670" t="str">
        <f>VLOOKUP(F670,'Liste Formations'!$A$5:$B$182,2,FALSE)</f>
        <v>Membres CSE</v>
      </c>
      <c r="H670">
        <v>14</v>
      </c>
    </row>
    <row r="671" spans="1:9" x14ac:dyDescent="0.25">
      <c r="A671">
        <v>256</v>
      </c>
      <c r="B671" t="s">
        <v>88</v>
      </c>
      <c r="C671">
        <v>2011</v>
      </c>
      <c r="F671" s="13">
        <v>1001</v>
      </c>
      <c r="G671" t="str">
        <f>VLOOKUP(F671,'Liste Formations'!$A$5:$B$182,2,FALSE)</f>
        <v>Conduite nacelle CACES R486A  Plate forme mobile</v>
      </c>
      <c r="H671">
        <v>14</v>
      </c>
    </row>
    <row r="672" spans="1:9" x14ac:dyDescent="0.25">
      <c r="A672">
        <v>256</v>
      </c>
      <c r="B672" t="s">
        <v>88</v>
      </c>
      <c r="C672">
        <v>2011</v>
      </c>
      <c r="F672" s="13">
        <v>1018</v>
      </c>
      <c r="G672" t="str">
        <f>VLOOKUP(F672,'Liste Formations'!$A$5:$B$182,2,FALSE)</f>
        <v>AQI Chaufferies - Agent Qualifié d'Intervention en chaufferies</v>
      </c>
      <c r="H672">
        <v>14</v>
      </c>
    </row>
    <row r="673" spans="1:9" x14ac:dyDescent="0.25">
      <c r="A673">
        <v>256</v>
      </c>
      <c r="B673" t="s">
        <v>88</v>
      </c>
      <c r="C673">
        <v>2013</v>
      </c>
      <c r="F673" s="13">
        <v>1006</v>
      </c>
      <c r="G673" t="str">
        <f>VLOOKUP(F673,'Liste Formations'!$A$5:$B$182,2,FALSE)</f>
        <v>Habilitation électrique BE Manœuvre BS</v>
      </c>
      <c r="H673">
        <v>10.5</v>
      </c>
    </row>
    <row r="674" spans="1:9" x14ac:dyDescent="0.25">
      <c r="A674">
        <v>256</v>
      </c>
      <c r="B674" t="s">
        <v>88</v>
      </c>
      <c r="C674">
        <v>2013</v>
      </c>
      <c r="F674" s="13">
        <v>1034</v>
      </c>
      <c r="G674" t="s">
        <v>316</v>
      </c>
      <c r="H674">
        <v>7</v>
      </c>
      <c r="I674" t="s">
        <v>312</v>
      </c>
    </row>
    <row r="675" spans="1:9" x14ac:dyDescent="0.25">
      <c r="A675">
        <v>256</v>
      </c>
      <c r="B675" t="s">
        <v>88</v>
      </c>
      <c r="C675">
        <v>2014</v>
      </c>
      <c r="F675" s="13">
        <v>1011</v>
      </c>
      <c r="G675" t="str">
        <f>VLOOKUP(F675,'Liste Formations'!$A$5:$B$182,2,FALSE)</f>
        <v>UTI.COM - SSI / CHUBB</v>
      </c>
      <c r="H675">
        <v>4</v>
      </c>
    </row>
    <row r="676" spans="1:9" x14ac:dyDescent="0.25">
      <c r="A676">
        <v>256</v>
      </c>
      <c r="B676" t="s">
        <v>88</v>
      </c>
      <c r="C676">
        <v>2015</v>
      </c>
      <c r="F676" s="13">
        <v>1019</v>
      </c>
      <c r="G676" t="str">
        <f>VLOOKUP(F676,'Liste Formations'!$A$5:$B$182,2,FALSE)</f>
        <v>API SIEMENS SIMATIC S7</v>
      </c>
      <c r="H676">
        <v>28</v>
      </c>
    </row>
    <row r="677" spans="1:9" x14ac:dyDescent="0.25">
      <c r="A677">
        <v>256</v>
      </c>
      <c r="B677" t="s">
        <v>88</v>
      </c>
      <c r="C677">
        <v>2017</v>
      </c>
      <c r="F677" s="13">
        <v>2023</v>
      </c>
      <c r="G677" t="str">
        <f>VLOOKUP(F677,'Liste Formations'!$A$5:$B$182,2,FALSE)</f>
        <v>Maintenance Rhéo Visco appareil Labo / ALPHA TECHNOLOGIE</v>
      </c>
      <c r="H677">
        <v>14</v>
      </c>
    </row>
    <row r="678" spans="1:9" x14ac:dyDescent="0.25">
      <c r="A678">
        <v>256</v>
      </c>
      <c r="B678" t="s">
        <v>88</v>
      </c>
      <c r="C678">
        <v>2018</v>
      </c>
      <c r="F678" s="13">
        <v>1001</v>
      </c>
      <c r="G678" t="str">
        <f>VLOOKUP(F678,'Liste Formations'!$A$5:$B$182,2,FALSE)</f>
        <v>Conduite nacelle CACES R486A  Plate forme mobile</v>
      </c>
      <c r="H678">
        <v>7</v>
      </c>
    </row>
    <row r="679" spans="1:9" x14ac:dyDescent="0.25">
      <c r="A679">
        <v>256</v>
      </c>
      <c r="B679" t="s">
        <v>88</v>
      </c>
      <c r="C679">
        <v>2018</v>
      </c>
      <c r="F679" s="13">
        <v>1004</v>
      </c>
      <c r="G679" t="str">
        <f>VLOOKUP(F679,'Liste Formations'!$A$5:$B$182,2,FALSE)</f>
        <v>Conduite Chariots Cat.3</v>
      </c>
      <c r="H679">
        <v>7</v>
      </c>
    </row>
    <row r="680" spans="1:9" x14ac:dyDescent="0.25">
      <c r="A680">
        <v>256</v>
      </c>
      <c r="B680" t="s">
        <v>88</v>
      </c>
      <c r="C680">
        <v>2018</v>
      </c>
      <c r="F680" s="13">
        <v>1007</v>
      </c>
      <c r="G680" t="str">
        <f>VLOOKUP(F680,'Liste Formations'!$A$5:$B$182,2,FALSE)</f>
        <v>Habilitation électrique BR/BC/B2V/HOV</v>
      </c>
      <c r="H680">
        <v>14</v>
      </c>
    </row>
    <row r="681" spans="1:9" x14ac:dyDescent="0.25">
      <c r="A681">
        <v>256</v>
      </c>
      <c r="B681" t="s">
        <v>88</v>
      </c>
      <c r="C681">
        <v>2018</v>
      </c>
      <c r="F681" s="13">
        <v>1020</v>
      </c>
      <c r="G681" t="str">
        <f>VLOOKUP(F681,'Liste Formations'!$A$5:$B$182,2,FALSE)</f>
        <v>Prévention TMS - Gestes Postures et Nutrition</v>
      </c>
      <c r="H681">
        <v>3.5</v>
      </c>
    </row>
    <row r="682" spans="1:9" x14ac:dyDescent="0.25">
      <c r="A682">
        <v>256</v>
      </c>
      <c r="B682" t="s">
        <v>88</v>
      </c>
      <c r="C682">
        <v>2019</v>
      </c>
      <c r="F682" s="13">
        <v>1034</v>
      </c>
      <c r="G682" t="s">
        <v>316</v>
      </c>
      <c r="H682">
        <v>7</v>
      </c>
      <c r="I682" t="s">
        <v>312</v>
      </c>
    </row>
    <row r="683" spans="1:9" x14ac:dyDescent="0.25">
      <c r="A683">
        <v>256</v>
      </c>
      <c r="B683" t="s">
        <v>88</v>
      </c>
      <c r="C683">
        <v>2022</v>
      </c>
      <c r="F683" s="13">
        <v>1007</v>
      </c>
      <c r="G683" t="str">
        <f>VLOOKUP(F683,'Liste Formations'!$A$5:$B$182,2,FALSE)</f>
        <v>Habilitation électrique BR/BC/B2V/HOV</v>
      </c>
      <c r="H683">
        <v>14</v>
      </c>
    </row>
    <row r="684" spans="1:9" x14ac:dyDescent="0.25">
      <c r="A684">
        <v>256</v>
      </c>
      <c r="B684" t="s">
        <v>88</v>
      </c>
      <c r="C684">
        <v>2022</v>
      </c>
      <c r="F684" s="13">
        <v>1034</v>
      </c>
      <c r="G684" t="s">
        <v>316</v>
      </c>
      <c r="H684">
        <v>7</v>
      </c>
      <c r="I684" t="s">
        <v>312</v>
      </c>
    </row>
    <row r="685" spans="1:9" x14ac:dyDescent="0.25">
      <c r="A685">
        <v>256</v>
      </c>
      <c r="B685" t="s">
        <v>88</v>
      </c>
      <c r="C685">
        <v>2023</v>
      </c>
      <c r="F685" s="13">
        <v>1001</v>
      </c>
      <c r="G685" t="str">
        <f>VLOOKUP(F685,'Liste Formations'!$A$5:$B$182,2,FALSE)</f>
        <v>Conduite nacelle CACES R486A  Plate forme mobile</v>
      </c>
      <c r="H685">
        <v>21</v>
      </c>
    </row>
    <row r="686" spans="1:9" x14ac:dyDescent="0.25">
      <c r="A686">
        <v>256</v>
      </c>
      <c r="B686" t="s">
        <v>88</v>
      </c>
      <c r="C686">
        <v>2023</v>
      </c>
      <c r="F686" s="13">
        <v>1004</v>
      </c>
      <c r="G686" t="str">
        <f>VLOOKUP(F686,'Liste Formations'!$A$5:$B$182,2,FALSE)</f>
        <v>Conduite Chariots Cat.3</v>
      </c>
      <c r="H686">
        <v>7</v>
      </c>
    </row>
    <row r="687" spans="1:9" x14ac:dyDescent="0.25">
      <c r="A687">
        <v>256</v>
      </c>
      <c r="B687" t="s">
        <v>88</v>
      </c>
      <c r="C687">
        <v>2024</v>
      </c>
      <c r="F687" s="13">
        <v>1013</v>
      </c>
      <c r="G687" t="str">
        <f>VLOOKUP(F687,'Liste Formations'!$A$5:$B$182,2,FALSE)</f>
        <v>ATEX Niveau 1 (1E+1M) Electrique et Mécanique</v>
      </c>
      <c r="H687">
        <v>14</v>
      </c>
    </row>
    <row r="688" spans="1:9" x14ac:dyDescent="0.25">
      <c r="A688">
        <v>256</v>
      </c>
      <c r="B688" t="s">
        <v>88</v>
      </c>
      <c r="C688">
        <v>2025</v>
      </c>
      <c r="D688" s="18">
        <v>45750</v>
      </c>
      <c r="E688" s="18">
        <v>45751</v>
      </c>
      <c r="F688" s="13">
        <v>1007</v>
      </c>
      <c r="G688" t="s">
        <v>284</v>
      </c>
      <c r="H688" s="75">
        <v>10.5</v>
      </c>
      <c r="I688" t="s">
        <v>280</v>
      </c>
    </row>
    <row r="689" spans="1:9" x14ac:dyDescent="0.25">
      <c r="A689">
        <v>256</v>
      </c>
      <c r="B689" t="s">
        <v>88</v>
      </c>
      <c r="C689">
        <v>2025</v>
      </c>
      <c r="D689" s="18">
        <v>45932</v>
      </c>
      <c r="E689" s="18">
        <v>45932</v>
      </c>
      <c r="F689" s="13">
        <v>1034</v>
      </c>
      <c r="G689" t="s">
        <v>316</v>
      </c>
      <c r="H689">
        <v>7</v>
      </c>
      <c r="I689" t="s">
        <v>312</v>
      </c>
    </row>
    <row r="690" spans="1:9" x14ac:dyDescent="0.25">
      <c r="A690">
        <v>256</v>
      </c>
      <c r="B690" t="s">
        <v>88</v>
      </c>
      <c r="C690">
        <v>2025</v>
      </c>
      <c r="D690" s="18" t="s">
        <v>324</v>
      </c>
      <c r="E690" s="18">
        <v>46009</v>
      </c>
      <c r="F690" s="13">
        <v>1008</v>
      </c>
      <c r="G690" t="s">
        <v>241</v>
      </c>
      <c r="H690">
        <v>7</v>
      </c>
      <c r="I690" t="s">
        <v>280</v>
      </c>
    </row>
    <row r="691" spans="1:9" x14ac:dyDescent="0.25">
      <c r="D691" s="18"/>
      <c r="E691" s="18"/>
    </row>
    <row r="692" spans="1:9" x14ac:dyDescent="0.25">
      <c r="D692" s="18"/>
      <c r="E692" s="18"/>
    </row>
    <row r="693" spans="1:9" x14ac:dyDescent="0.25">
      <c r="A693">
        <v>455</v>
      </c>
      <c r="B693" t="s">
        <v>89</v>
      </c>
      <c r="C693">
        <v>2022</v>
      </c>
      <c r="F693" s="13">
        <v>3010</v>
      </c>
      <c r="G693" t="str">
        <f>VLOOKUP(F693,'Liste Formations'!$A$5:$B$182,2,FALSE)</f>
        <v>Poste 830</v>
      </c>
      <c r="H693">
        <v>151.66999999999999</v>
      </c>
    </row>
    <row r="694" spans="1:9" x14ac:dyDescent="0.25">
      <c r="A694">
        <v>455</v>
      </c>
      <c r="B694" t="s">
        <v>89</v>
      </c>
      <c r="C694">
        <v>2023</v>
      </c>
      <c r="F694" s="13">
        <v>1004</v>
      </c>
      <c r="G694" t="str">
        <f>VLOOKUP(F694,'Liste Formations'!$A$5:$B$182,2,FALSE)</f>
        <v>Conduite Chariots Cat.3</v>
      </c>
      <c r="H694">
        <v>10.5</v>
      </c>
    </row>
    <row r="695" spans="1:9" x14ac:dyDescent="0.25">
      <c r="A695">
        <v>455</v>
      </c>
      <c r="B695" t="s">
        <v>89</v>
      </c>
      <c r="C695">
        <v>2023</v>
      </c>
      <c r="F695" s="13">
        <v>3038</v>
      </c>
      <c r="G695" t="str">
        <f>VLOOKUP(F695,'Liste Formations'!$A$5:$B$182,2,FALSE)</f>
        <v>Poste 1401</v>
      </c>
      <c r="H695">
        <v>151.66999999999999</v>
      </c>
    </row>
    <row r="696" spans="1:9" x14ac:dyDescent="0.25">
      <c r="A696">
        <v>455</v>
      </c>
      <c r="B696" t="s">
        <v>89</v>
      </c>
      <c r="C696">
        <v>2024</v>
      </c>
      <c r="F696" s="13">
        <v>1010</v>
      </c>
      <c r="G696" t="s">
        <v>222</v>
      </c>
      <c r="H696">
        <v>2</v>
      </c>
    </row>
    <row r="697" spans="1:9" x14ac:dyDescent="0.25">
      <c r="A697">
        <v>455</v>
      </c>
      <c r="B697" t="s">
        <v>89</v>
      </c>
      <c r="C697">
        <v>2024</v>
      </c>
      <c r="F697" s="13">
        <v>1009</v>
      </c>
      <c r="G697" t="str">
        <f>VLOOKUP(F697,'Liste Formations'!$A$5:$B$182,2,FALSE)</f>
        <v>Défibrillateur</v>
      </c>
      <c r="H697">
        <v>2</v>
      </c>
    </row>
    <row r="698" spans="1:9" x14ac:dyDescent="0.25">
      <c r="A698">
        <v>455</v>
      </c>
      <c r="B698" t="s">
        <v>89</v>
      </c>
      <c r="C698">
        <v>2024</v>
      </c>
      <c r="F698" s="13">
        <v>1016</v>
      </c>
      <c r="G698" t="str">
        <f>VLOOKUP(F698,'Liste Formations'!$A$5:$B$182,2,FALSE)</f>
        <v>S.S.T. Sauveteurs Secourites du Travail</v>
      </c>
      <c r="H698">
        <v>14</v>
      </c>
    </row>
    <row r="699" spans="1:9" x14ac:dyDescent="0.25">
      <c r="A699">
        <v>455</v>
      </c>
      <c r="B699" t="s">
        <v>89</v>
      </c>
      <c r="C699">
        <v>2024</v>
      </c>
      <c r="F699" s="13">
        <v>3001</v>
      </c>
      <c r="G699" t="str">
        <f>VLOOKUP(F699,'Liste Formations'!$A$5:$B$182,2,FALSE)</f>
        <v>Poste 506</v>
      </c>
      <c r="H699">
        <v>140</v>
      </c>
    </row>
    <row r="702" spans="1:9" x14ac:dyDescent="0.25">
      <c r="A702">
        <v>379</v>
      </c>
      <c r="B702" t="s">
        <v>174</v>
      </c>
      <c r="C702">
        <v>2019</v>
      </c>
      <c r="F702" s="13">
        <v>1004</v>
      </c>
      <c r="G702" t="str">
        <f>VLOOKUP(F702,'Liste Formations'!$A$5:$B$182,2,FALSE)</f>
        <v>Conduite Chariots Cat.3</v>
      </c>
      <c r="H702">
        <v>7</v>
      </c>
    </row>
    <row r="703" spans="1:9" x14ac:dyDescent="0.25">
      <c r="A703">
        <v>379</v>
      </c>
      <c r="B703" t="s">
        <v>174</v>
      </c>
      <c r="C703">
        <v>2019</v>
      </c>
      <c r="F703" s="13">
        <v>3005</v>
      </c>
      <c r="G703" t="str">
        <f>VLOOKUP(F703,'Liste Formations'!$A$5:$B$182,2,FALSE)</f>
        <v>Poste 514</v>
      </c>
      <c r="H703">
        <v>151.66999999999999</v>
      </c>
    </row>
    <row r="704" spans="1:9" x14ac:dyDescent="0.25">
      <c r="A704">
        <v>379</v>
      </c>
      <c r="B704" t="s">
        <v>174</v>
      </c>
      <c r="C704">
        <v>2019</v>
      </c>
      <c r="F704" s="13">
        <v>3006</v>
      </c>
      <c r="G704" t="str">
        <f>VLOOKUP(F704,'Liste Formations'!$A$5:$B$182,2,FALSE)</f>
        <v>Poste 515</v>
      </c>
      <c r="H704">
        <v>151.66999999999999</v>
      </c>
    </row>
    <row r="705" spans="1:10" x14ac:dyDescent="0.25">
      <c r="A705">
        <v>379</v>
      </c>
      <c r="B705" t="s">
        <v>174</v>
      </c>
      <c r="C705">
        <v>2020</v>
      </c>
      <c r="F705" s="13">
        <v>3002</v>
      </c>
      <c r="G705" t="str">
        <f>VLOOKUP(F705,'Liste Formations'!$A$5:$B$182,2,FALSE)</f>
        <v>Poste 507</v>
      </c>
      <c r="H705">
        <v>151.66999999999999</v>
      </c>
    </row>
    <row r="706" spans="1:10" x14ac:dyDescent="0.25">
      <c r="A706">
        <v>379</v>
      </c>
      <c r="B706" t="s">
        <v>174</v>
      </c>
      <c r="C706">
        <v>2020</v>
      </c>
      <c r="F706" s="13">
        <v>3007</v>
      </c>
      <c r="G706" t="str">
        <f>VLOOKUP(F706,'Liste Formations'!$A$5:$B$182,2,FALSE)</f>
        <v>Poste 516</v>
      </c>
      <c r="H706">
        <v>151.66999999999999</v>
      </c>
    </row>
    <row r="707" spans="1:10" x14ac:dyDescent="0.25">
      <c r="A707">
        <v>379</v>
      </c>
      <c r="B707" t="s">
        <v>174</v>
      </c>
      <c r="C707">
        <v>2020</v>
      </c>
      <c r="F707" s="13">
        <v>3016</v>
      </c>
      <c r="G707" t="str">
        <f>VLOOKUP(F707,'Liste Formations'!$A$5:$B$182,2,FALSE)</f>
        <v>Poste 904</v>
      </c>
      <c r="H707">
        <v>26</v>
      </c>
    </row>
    <row r="708" spans="1:10" x14ac:dyDescent="0.25">
      <c r="A708">
        <v>379</v>
      </c>
      <c r="B708" t="s">
        <v>174</v>
      </c>
      <c r="C708">
        <v>2020</v>
      </c>
      <c r="F708" s="13">
        <v>3028</v>
      </c>
      <c r="G708" t="str">
        <f>VLOOKUP(F708,'Liste Formations'!$A$5:$B$182,2,FALSE)</f>
        <v>Poste 942</v>
      </c>
      <c r="H708">
        <v>66</v>
      </c>
    </row>
    <row r="709" spans="1:10" x14ac:dyDescent="0.25">
      <c r="A709">
        <v>379</v>
      </c>
      <c r="B709" t="s">
        <v>174</v>
      </c>
      <c r="C709">
        <v>2020</v>
      </c>
      <c r="F709" s="13">
        <v>3032</v>
      </c>
      <c r="G709" t="str">
        <f>VLOOKUP(F709,'Liste Formations'!$A$5:$B$182,2,FALSE)</f>
        <v>Poste 1100</v>
      </c>
      <c r="H709">
        <v>151.66999999999999</v>
      </c>
    </row>
    <row r="710" spans="1:10" x14ac:dyDescent="0.25">
      <c r="A710">
        <v>379</v>
      </c>
      <c r="B710" t="s">
        <v>174</v>
      </c>
      <c r="C710">
        <v>2021</v>
      </c>
      <c r="F710" s="13">
        <v>3005</v>
      </c>
      <c r="G710" t="str">
        <f>VLOOKUP(F710,'Liste Formations'!$A$5:$B$182,2,FALSE)</f>
        <v>Poste 514</v>
      </c>
      <c r="H710">
        <v>151.66999999999999</v>
      </c>
    </row>
    <row r="711" spans="1:10" x14ac:dyDescent="0.25">
      <c r="A711">
        <v>379</v>
      </c>
      <c r="B711" t="s">
        <v>174</v>
      </c>
      <c r="C711">
        <v>2021</v>
      </c>
      <c r="F711" s="13">
        <v>3015</v>
      </c>
      <c r="G711" t="str">
        <f>VLOOKUP(F711,'Liste Formations'!$A$5:$B$182,2,FALSE)</f>
        <v>Poste 903</v>
      </c>
      <c r="H711">
        <v>151.66999999999999</v>
      </c>
    </row>
    <row r="712" spans="1:10" x14ac:dyDescent="0.25">
      <c r="A712">
        <v>379</v>
      </c>
      <c r="B712" t="s">
        <v>174</v>
      </c>
      <c r="C712">
        <v>2021</v>
      </c>
      <c r="F712" s="13">
        <v>3016</v>
      </c>
      <c r="G712" t="str">
        <f>VLOOKUP(F712,'Liste Formations'!$A$5:$B$182,2,FALSE)</f>
        <v>Poste 904</v>
      </c>
      <c r="H712">
        <v>151.66999999999999</v>
      </c>
    </row>
    <row r="713" spans="1:10" x14ac:dyDescent="0.25">
      <c r="A713">
        <v>379</v>
      </c>
      <c r="B713" t="s">
        <v>174</v>
      </c>
      <c r="C713">
        <v>2024</v>
      </c>
      <c r="F713" s="13">
        <v>1004</v>
      </c>
      <c r="G713" t="s">
        <v>206</v>
      </c>
      <c r="H713">
        <v>7</v>
      </c>
    </row>
    <row r="714" spans="1:10" x14ac:dyDescent="0.25">
      <c r="A714">
        <v>379</v>
      </c>
      <c r="B714" t="s">
        <v>174</v>
      </c>
      <c r="C714">
        <v>2024</v>
      </c>
      <c r="F714" s="13">
        <v>1020</v>
      </c>
      <c r="G714" t="str">
        <f>VLOOKUP(F714,'Liste Formations'!$A$5:$B$182,2,FALSE)</f>
        <v>Prévention TMS - Gestes Postures et Nutrition</v>
      </c>
      <c r="H714">
        <v>3.5</v>
      </c>
    </row>
    <row r="715" spans="1:10" x14ac:dyDescent="0.25">
      <c r="A715">
        <v>379</v>
      </c>
      <c r="B715" t="s">
        <v>174</v>
      </c>
      <c r="C715">
        <v>2024</v>
      </c>
      <c r="F715" s="13">
        <v>3001</v>
      </c>
      <c r="G715" t="str">
        <f>VLOOKUP(F715,'Liste Formations'!$A$5:$B$182,2,FALSE)</f>
        <v>Poste 506</v>
      </c>
      <c r="H715">
        <v>140</v>
      </c>
    </row>
    <row r="716" spans="1:10" x14ac:dyDescent="0.25">
      <c r="A716">
        <v>379</v>
      </c>
      <c r="B716" t="s">
        <v>174</v>
      </c>
      <c r="C716">
        <v>2024</v>
      </c>
      <c r="F716" s="13">
        <v>3037</v>
      </c>
      <c r="G716" t="str">
        <f>VLOOKUP(F716,'Liste Formations'!$A$5:$B$182,2,FALSE)</f>
        <v>Poste 1121</v>
      </c>
      <c r="H716">
        <v>35</v>
      </c>
    </row>
    <row r="717" spans="1:10" x14ac:dyDescent="0.25">
      <c r="A717">
        <v>379</v>
      </c>
      <c r="B717" t="s">
        <v>174</v>
      </c>
      <c r="C717">
        <v>2025</v>
      </c>
      <c r="D717" s="18">
        <v>45723</v>
      </c>
      <c r="E717" s="18">
        <v>45754</v>
      </c>
      <c r="F717" s="13">
        <v>3008</v>
      </c>
      <c r="G717" s="15" t="s">
        <v>33</v>
      </c>
      <c r="H717" s="75">
        <v>35</v>
      </c>
      <c r="I717" t="s">
        <v>308</v>
      </c>
    </row>
    <row r="718" spans="1:10" x14ac:dyDescent="0.25">
      <c r="A718">
        <v>379</v>
      </c>
      <c r="B718" t="s">
        <v>174</v>
      </c>
      <c r="C718">
        <v>2025</v>
      </c>
      <c r="D718" s="18">
        <v>45723</v>
      </c>
      <c r="E718" s="18">
        <v>45754</v>
      </c>
      <c r="F718" s="13">
        <v>3048</v>
      </c>
      <c r="G718" s="15" t="s">
        <v>277</v>
      </c>
      <c r="H718" s="78">
        <v>30</v>
      </c>
      <c r="I718" t="s">
        <v>308</v>
      </c>
      <c r="J718" s="64"/>
    </row>
    <row r="719" spans="1:10" x14ac:dyDescent="0.25">
      <c r="A719">
        <v>379</v>
      </c>
      <c r="B719" t="s">
        <v>174</v>
      </c>
      <c r="C719">
        <v>2026</v>
      </c>
      <c r="D719" s="18"/>
      <c r="E719" s="18">
        <v>46087</v>
      </c>
      <c r="F719" s="13">
        <v>3004</v>
      </c>
      <c r="G719" t="s">
        <v>34</v>
      </c>
      <c r="H719" s="73">
        <v>105</v>
      </c>
      <c r="I719" t="s">
        <v>308</v>
      </c>
      <c r="J719" s="64"/>
    </row>
    <row r="720" spans="1:10" x14ac:dyDescent="0.25">
      <c r="D720" s="18"/>
      <c r="E720" s="18"/>
      <c r="G720" s="15"/>
      <c r="H720" s="64"/>
    </row>
    <row r="721" spans="1:10" x14ac:dyDescent="0.25">
      <c r="D721" s="18"/>
      <c r="E721" s="18"/>
      <c r="G721" s="15"/>
      <c r="H721" s="64"/>
    </row>
    <row r="722" spans="1:10" x14ac:dyDescent="0.25">
      <c r="A722">
        <v>449</v>
      </c>
      <c r="B722" t="s">
        <v>90</v>
      </c>
      <c r="C722">
        <v>2022</v>
      </c>
      <c r="F722" s="13">
        <v>3002</v>
      </c>
      <c r="G722" t="str">
        <f>VLOOKUP(F722,'Liste Formations'!$A$5:$B$182,2,FALSE)</f>
        <v>Poste 507</v>
      </c>
      <c r="H722">
        <v>151.66999999999999</v>
      </c>
    </row>
    <row r="723" spans="1:10" x14ac:dyDescent="0.25">
      <c r="A723">
        <v>449</v>
      </c>
      <c r="B723" t="s">
        <v>90</v>
      </c>
      <c r="C723">
        <v>2023</v>
      </c>
      <c r="F723" s="13">
        <v>1016</v>
      </c>
      <c r="G723" t="str">
        <f>VLOOKUP(F723,'Liste Formations'!$A$5:$B$182,2,FALSE)</f>
        <v>S.S.T. Sauveteurs Secourites du Travail</v>
      </c>
      <c r="H723">
        <v>14</v>
      </c>
    </row>
    <row r="724" spans="1:10" x14ac:dyDescent="0.25">
      <c r="A724">
        <v>449</v>
      </c>
      <c r="B724" t="s">
        <v>90</v>
      </c>
      <c r="C724">
        <v>2024</v>
      </c>
      <c r="F724" s="13">
        <v>3037</v>
      </c>
      <c r="G724" s="15" t="s">
        <v>29</v>
      </c>
      <c r="H724" s="73">
        <v>35</v>
      </c>
      <c r="J724" s="73"/>
    </row>
    <row r="725" spans="1:10" x14ac:dyDescent="0.25">
      <c r="A725">
        <v>449</v>
      </c>
      <c r="B725" t="s">
        <v>90</v>
      </c>
      <c r="C725">
        <v>2024</v>
      </c>
      <c r="F725" s="13">
        <v>3032</v>
      </c>
      <c r="G725" s="15" t="s">
        <v>30</v>
      </c>
      <c r="H725" s="73">
        <v>35</v>
      </c>
      <c r="J725" s="73"/>
    </row>
    <row r="726" spans="1:10" x14ac:dyDescent="0.25">
      <c r="G726" s="15"/>
      <c r="H726" s="73"/>
    </row>
    <row r="727" spans="1:10" x14ac:dyDescent="0.25">
      <c r="A727">
        <v>10000051</v>
      </c>
      <c r="B727" t="s">
        <v>325</v>
      </c>
      <c r="C727">
        <v>2026</v>
      </c>
      <c r="E727" s="18">
        <v>46078</v>
      </c>
      <c r="F727" s="13">
        <v>3043</v>
      </c>
      <c r="G727" s="15" t="s">
        <v>44</v>
      </c>
      <c r="H727" s="73">
        <v>105</v>
      </c>
      <c r="I727" t="s">
        <v>308</v>
      </c>
    </row>
    <row r="728" spans="1:10" x14ac:dyDescent="0.25">
      <c r="G728" s="15"/>
      <c r="H728" s="73"/>
    </row>
    <row r="729" spans="1:10" x14ac:dyDescent="0.25">
      <c r="G729" s="15"/>
      <c r="H729" s="73"/>
    </row>
    <row r="730" spans="1:10" x14ac:dyDescent="0.25">
      <c r="G730" s="15"/>
      <c r="H730" s="73"/>
    </row>
    <row r="731" spans="1:10" x14ac:dyDescent="0.25">
      <c r="G731" s="15"/>
      <c r="H731" s="73"/>
    </row>
    <row r="732" spans="1:10" x14ac:dyDescent="0.25">
      <c r="G732" s="15"/>
      <c r="H732" s="73"/>
    </row>
    <row r="733" spans="1:10" x14ac:dyDescent="0.25">
      <c r="A733">
        <v>434</v>
      </c>
      <c r="B733" t="s">
        <v>91</v>
      </c>
      <c r="C733">
        <v>2021</v>
      </c>
      <c r="F733" s="13">
        <v>3040</v>
      </c>
      <c r="G733" t="str">
        <f>VLOOKUP(F733,'Liste Formations'!$A$5:$B$182,2,FALSE)</f>
        <v>Poste 1404</v>
      </c>
      <c r="H733">
        <v>151.66999999999999</v>
      </c>
    </row>
    <row r="734" spans="1:10" x14ac:dyDescent="0.25">
      <c r="A734">
        <v>434</v>
      </c>
      <c r="B734" t="s">
        <v>91</v>
      </c>
      <c r="C734">
        <v>2023</v>
      </c>
      <c r="F734" s="13">
        <v>3038</v>
      </c>
      <c r="G734" t="str">
        <f>VLOOKUP(F734,'Liste Formations'!$A$5:$B$182,2,FALSE)</f>
        <v>Poste 1401</v>
      </c>
      <c r="H734">
        <v>151.66999999999999</v>
      </c>
    </row>
    <row r="735" spans="1:10" x14ac:dyDescent="0.25">
      <c r="A735">
        <v>434</v>
      </c>
      <c r="B735" t="s">
        <v>91</v>
      </c>
      <c r="C735">
        <v>2024</v>
      </c>
      <c r="F735" s="13">
        <v>1020</v>
      </c>
      <c r="G735" t="str">
        <f>VLOOKUP(F735,'Liste Formations'!$A$5:$B$182,2,FALSE)</f>
        <v>Prévention TMS - Gestes Postures et Nutrition</v>
      </c>
      <c r="H735">
        <v>3.5</v>
      </c>
    </row>
    <row r="736" spans="1:10" x14ac:dyDescent="0.25">
      <c r="A736">
        <v>434</v>
      </c>
      <c r="B736" t="s">
        <v>91</v>
      </c>
      <c r="C736">
        <v>2024</v>
      </c>
      <c r="F736" s="13">
        <v>3001</v>
      </c>
      <c r="G736" t="str">
        <f>VLOOKUP(F736,'Liste Formations'!$A$5:$B$182,2,FALSE)</f>
        <v>Poste 506</v>
      </c>
      <c r="H736">
        <v>140</v>
      </c>
    </row>
    <row r="737" spans="1:9" x14ac:dyDescent="0.25">
      <c r="A737">
        <v>434</v>
      </c>
      <c r="B737" t="s">
        <v>91</v>
      </c>
      <c r="C737">
        <v>2024</v>
      </c>
      <c r="F737" s="13">
        <v>3001</v>
      </c>
      <c r="G737" t="str">
        <f>VLOOKUP(F737,'Liste Formations'!$A$5:$B$182,2,FALSE)</f>
        <v>Poste 506</v>
      </c>
      <c r="H737">
        <v>12</v>
      </c>
    </row>
    <row r="738" spans="1:9" x14ac:dyDescent="0.25">
      <c r="A738">
        <v>434</v>
      </c>
      <c r="B738" t="s">
        <v>91</v>
      </c>
      <c r="C738">
        <v>2024</v>
      </c>
      <c r="D738" s="18">
        <v>45642</v>
      </c>
      <c r="E738" s="18">
        <v>45643</v>
      </c>
      <c r="F738" s="13">
        <v>1006</v>
      </c>
      <c r="G738" t="str">
        <f>VLOOKUP(F738,'Liste Formations'!$A$5:$B$182,2,FALSE)</f>
        <v>Habilitation électrique BE Manœuvre BS</v>
      </c>
      <c r="H738">
        <v>14</v>
      </c>
    </row>
    <row r="739" spans="1:9" x14ac:dyDescent="0.25">
      <c r="A739">
        <v>434</v>
      </c>
      <c r="B739" t="s">
        <v>91</v>
      </c>
      <c r="C739">
        <v>2025</v>
      </c>
      <c r="D739" s="18">
        <v>45919</v>
      </c>
      <c r="E739" s="18">
        <v>45926</v>
      </c>
      <c r="F739" s="13">
        <v>1016</v>
      </c>
      <c r="G739" t="s">
        <v>207</v>
      </c>
      <c r="H739">
        <v>14</v>
      </c>
      <c r="I739" t="s">
        <v>314</v>
      </c>
    </row>
    <row r="740" spans="1:9" x14ac:dyDescent="0.25">
      <c r="D740" s="18"/>
      <c r="E740" s="18"/>
    </row>
    <row r="741" spans="1:9" x14ac:dyDescent="0.25">
      <c r="D741" s="18"/>
      <c r="E741" s="18"/>
    </row>
    <row r="742" spans="1:9" x14ac:dyDescent="0.25">
      <c r="A742">
        <v>10000033</v>
      </c>
      <c r="B742" t="s">
        <v>170</v>
      </c>
      <c r="C742">
        <v>2022</v>
      </c>
      <c r="F742" s="13">
        <v>3039</v>
      </c>
      <c r="G742" t="str">
        <f>VLOOKUP(F742,'Liste Formations'!$A$5:$B$182,2,FALSE)</f>
        <v>Poste 1402</v>
      </c>
      <c r="H742">
        <v>151.66999999999999</v>
      </c>
    </row>
    <row r="743" spans="1:9" x14ac:dyDescent="0.25">
      <c r="A743">
        <v>10000033</v>
      </c>
      <c r="B743" t="s">
        <v>170</v>
      </c>
      <c r="C743">
        <v>2024</v>
      </c>
      <c r="F743" s="13">
        <v>1010</v>
      </c>
      <c r="G743" t="s">
        <v>222</v>
      </c>
      <c r="H743">
        <v>2</v>
      </c>
    </row>
    <row r="744" spans="1:9" x14ac:dyDescent="0.25">
      <c r="A744">
        <v>10000033</v>
      </c>
      <c r="B744" t="s">
        <v>170</v>
      </c>
      <c r="C744">
        <v>2024</v>
      </c>
      <c r="F744" s="13">
        <v>1009</v>
      </c>
      <c r="G744" t="str">
        <f>VLOOKUP(F744,'Liste Formations'!$A$5:$B$182,2,FALSE)</f>
        <v>Défibrillateur</v>
      </c>
      <c r="H744">
        <v>2</v>
      </c>
    </row>
    <row r="745" spans="1:9" x14ac:dyDescent="0.25">
      <c r="A745">
        <v>10000033</v>
      </c>
      <c r="B745" t="s">
        <v>170</v>
      </c>
      <c r="C745">
        <v>2024</v>
      </c>
      <c r="F745" s="13">
        <v>3004</v>
      </c>
      <c r="G745" t="str">
        <f>VLOOKUP(F745,'Liste Formations'!$A$5:$B$182,2,FALSE)</f>
        <v>Poste 510</v>
      </c>
      <c r="H745">
        <v>105</v>
      </c>
    </row>
    <row r="746" spans="1:9" x14ac:dyDescent="0.25">
      <c r="A746">
        <v>10000033</v>
      </c>
      <c r="B746" t="s">
        <v>170</v>
      </c>
      <c r="C746">
        <v>2024</v>
      </c>
      <c r="F746" s="13">
        <v>3006</v>
      </c>
      <c r="G746" t="str">
        <f>VLOOKUP(F746,'Liste Formations'!$A$5:$B$182,2,FALSE)</f>
        <v>Poste 515</v>
      </c>
      <c r="H746">
        <v>70</v>
      </c>
    </row>
    <row r="747" spans="1:9" x14ac:dyDescent="0.25">
      <c r="A747">
        <v>10000033</v>
      </c>
      <c r="B747" t="s">
        <v>170</v>
      </c>
      <c r="C747">
        <v>2024</v>
      </c>
      <c r="F747" s="13">
        <v>3037</v>
      </c>
      <c r="G747" t="str">
        <f>VLOOKUP(F747,'Liste Formations'!$A$5:$B$182,2,FALSE)</f>
        <v>Poste 1121</v>
      </c>
      <c r="H747">
        <v>151.66999999999999</v>
      </c>
    </row>
    <row r="748" spans="1:9" x14ac:dyDescent="0.25">
      <c r="A748">
        <v>10000033</v>
      </c>
      <c r="B748" t="s">
        <v>170</v>
      </c>
      <c r="C748">
        <v>2024</v>
      </c>
      <c r="F748" s="13">
        <v>3040</v>
      </c>
      <c r="G748" t="str">
        <f>VLOOKUP(F748,'Liste Formations'!$A$5:$B$182,2,FALSE)</f>
        <v>Poste 1404</v>
      </c>
      <c r="H748">
        <v>105</v>
      </c>
    </row>
    <row r="751" spans="1:9" x14ac:dyDescent="0.25">
      <c r="A751">
        <v>426</v>
      </c>
      <c r="B751" t="s">
        <v>92</v>
      </c>
      <c r="C751">
        <v>2023</v>
      </c>
      <c r="F751" s="13">
        <v>3024</v>
      </c>
      <c r="G751" t="str">
        <f>VLOOKUP(F751,'Liste Formations'!$A$5:$B$182,2,FALSE)</f>
        <v>Poste 924</v>
      </c>
      <c r="H751">
        <v>151.66999999999999</v>
      </c>
    </row>
    <row r="752" spans="1:9" x14ac:dyDescent="0.25">
      <c r="A752">
        <v>426</v>
      </c>
      <c r="B752" t="s">
        <v>92</v>
      </c>
      <c r="C752">
        <v>2023</v>
      </c>
      <c r="F752" s="13">
        <v>3026</v>
      </c>
      <c r="G752" t="str">
        <f>VLOOKUP(F752,'Liste Formations'!$A$5:$B$182,2,FALSE)</f>
        <v>Poste 940</v>
      </c>
      <c r="H752">
        <v>151.66999999999999</v>
      </c>
    </row>
    <row r="753" spans="1:8" x14ac:dyDescent="0.25">
      <c r="A753">
        <v>426</v>
      </c>
      <c r="B753" t="s">
        <v>92</v>
      </c>
      <c r="C753">
        <v>2023</v>
      </c>
      <c r="F753" s="13">
        <v>1017</v>
      </c>
      <c r="G753" t="str">
        <f>VLOOKUP(F753,'Liste Formations'!$A$5:$B$182,2,FALSE)</f>
        <v>R. S.S.T. Recyclage Sauveteurs Secourites du Travail</v>
      </c>
      <c r="H753">
        <v>7</v>
      </c>
    </row>
    <row r="754" spans="1:8" x14ac:dyDescent="0.25">
      <c r="A754">
        <v>426</v>
      </c>
      <c r="B754" t="s">
        <v>92</v>
      </c>
      <c r="C754">
        <v>2023</v>
      </c>
      <c r="F754" s="13">
        <v>1010</v>
      </c>
      <c r="G754" t="s">
        <v>222</v>
      </c>
      <c r="H754">
        <v>2</v>
      </c>
    </row>
    <row r="755" spans="1:8" x14ac:dyDescent="0.25">
      <c r="A755">
        <v>426</v>
      </c>
      <c r="B755" t="s">
        <v>92</v>
      </c>
      <c r="C755">
        <v>2023</v>
      </c>
      <c r="F755" s="13">
        <v>1009</v>
      </c>
      <c r="G755" t="str">
        <f>VLOOKUP(F755,'Liste Formations'!$A$5:$B$182,2,FALSE)</f>
        <v>Défibrillateur</v>
      </c>
      <c r="H755">
        <v>2</v>
      </c>
    </row>
    <row r="756" spans="1:8" x14ac:dyDescent="0.25">
      <c r="A756">
        <v>426</v>
      </c>
      <c r="B756" t="s">
        <v>92</v>
      </c>
      <c r="C756">
        <v>2024</v>
      </c>
      <c r="F756" s="13">
        <v>3002</v>
      </c>
      <c r="G756" t="str">
        <f>VLOOKUP(F756,'Liste Formations'!$A$5:$B$182,2,FALSE)</f>
        <v>Poste 507</v>
      </c>
      <c r="H756">
        <v>105</v>
      </c>
    </row>
    <row r="757" spans="1:8" x14ac:dyDescent="0.25">
      <c r="A757">
        <v>426</v>
      </c>
      <c r="B757" t="s">
        <v>92</v>
      </c>
      <c r="C757">
        <v>2024</v>
      </c>
      <c r="F757" s="13">
        <v>3006</v>
      </c>
      <c r="G757" t="str">
        <f>VLOOKUP(F757,'Liste Formations'!$A$5:$B$182,2,FALSE)</f>
        <v>Poste 515</v>
      </c>
      <c r="H757">
        <v>70</v>
      </c>
    </row>
    <row r="760" spans="1:8" x14ac:dyDescent="0.25">
      <c r="A760">
        <v>429</v>
      </c>
      <c r="B760" t="s">
        <v>93</v>
      </c>
      <c r="C760">
        <v>2021</v>
      </c>
      <c r="F760" s="13">
        <v>1004</v>
      </c>
      <c r="G760" t="str">
        <f>VLOOKUP(F760,'Liste Formations'!$A$5:$B$182,2,FALSE)</f>
        <v>Conduite Chariots Cat.3</v>
      </c>
      <c r="H760">
        <v>7</v>
      </c>
    </row>
    <row r="761" spans="1:8" x14ac:dyDescent="0.25">
      <c r="A761">
        <v>429</v>
      </c>
      <c r="B761" t="s">
        <v>93</v>
      </c>
      <c r="C761">
        <v>2023</v>
      </c>
      <c r="F761" s="13">
        <v>1014</v>
      </c>
      <c r="G761" t="str">
        <f>VLOOKUP(F761,'Liste Formations'!$A$5:$B$182,2,FALSE)</f>
        <v>Membres CSE</v>
      </c>
      <c r="H761">
        <v>35</v>
      </c>
    </row>
    <row r="763" spans="1:8" x14ac:dyDescent="0.25">
      <c r="A763">
        <v>411</v>
      </c>
      <c r="B763" t="s">
        <v>94</v>
      </c>
      <c r="C763">
        <v>2023</v>
      </c>
      <c r="F763" s="13">
        <v>1014</v>
      </c>
      <c r="G763" t="str">
        <f>VLOOKUP(F763,'Liste Formations'!$A$5:$B$182,2,FALSE)</f>
        <v>Membres CSE</v>
      </c>
      <c r="H763">
        <v>35</v>
      </c>
    </row>
    <row r="764" spans="1:8" x14ac:dyDescent="0.25">
      <c r="A764">
        <v>411</v>
      </c>
      <c r="B764" t="s">
        <v>94</v>
      </c>
      <c r="C764">
        <v>2023</v>
      </c>
      <c r="F764" s="13">
        <v>1030</v>
      </c>
      <c r="G764" t="str">
        <f>VLOOKUP(F764,'Liste Formations'!$A$5:$B$182,2,FALSE)</f>
        <v>Utilisation PTI</v>
      </c>
      <c r="H764">
        <v>0.5</v>
      </c>
    </row>
    <row r="765" spans="1:8" x14ac:dyDescent="0.25">
      <c r="A765">
        <v>411</v>
      </c>
      <c r="B765" t="s">
        <v>94</v>
      </c>
      <c r="C765">
        <v>2023</v>
      </c>
      <c r="F765" s="13">
        <v>2027</v>
      </c>
      <c r="G765" t="str">
        <f>VLOOKUP(F765,'Liste Formations'!$A$5:$B$182,2,FALSE)</f>
        <v>INSTRON</v>
      </c>
      <c r="H765">
        <v>3.5</v>
      </c>
    </row>
    <row r="766" spans="1:8" x14ac:dyDescent="0.25">
      <c r="A766">
        <v>411</v>
      </c>
      <c r="B766" t="s">
        <v>94</v>
      </c>
      <c r="C766">
        <v>2024</v>
      </c>
      <c r="F766" s="13">
        <v>1032</v>
      </c>
      <c r="G766" t="str">
        <f>VLOOKUP(F766,'Liste Formations'!$A$5:$B$182,2,FALSE)</f>
        <v>Sensibilisation RPS Risques Psychosociaux</v>
      </c>
      <c r="H766">
        <v>2</v>
      </c>
    </row>
    <row r="767" spans="1:8" x14ac:dyDescent="0.25">
      <c r="A767">
        <v>411</v>
      </c>
      <c r="B767" t="s">
        <v>94</v>
      </c>
      <c r="C767">
        <v>2024</v>
      </c>
      <c r="F767" s="13">
        <v>1033</v>
      </c>
      <c r="G767" t="str">
        <f>VLOOKUP(F767,'Liste Formations'!$A$5:$B$182,2,FALSE)</f>
        <v>Sensibilisation aux addictions</v>
      </c>
      <c r="H767">
        <v>1.5</v>
      </c>
    </row>
    <row r="769" spans="1:9" x14ac:dyDescent="0.25">
      <c r="A769">
        <v>439</v>
      </c>
      <c r="B769" t="s">
        <v>147</v>
      </c>
      <c r="C769">
        <v>2022</v>
      </c>
      <c r="F769" s="13">
        <v>3018</v>
      </c>
      <c r="G769" t="str">
        <f>VLOOKUP(F769,'Liste Formations'!$A$5:$B$182,2,FALSE)</f>
        <v>Poste 906</v>
      </c>
      <c r="H769">
        <v>151.66999999999999</v>
      </c>
    </row>
    <row r="770" spans="1:9" x14ac:dyDescent="0.25">
      <c r="A770">
        <v>439</v>
      </c>
      <c r="B770" t="s">
        <v>147</v>
      </c>
      <c r="C770">
        <v>2022</v>
      </c>
      <c r="F770" s="13">
        <v>3028</v>
      </c>
      <c r="G770" t="str">
        <f>VLOOKUP(F770,'Liste Formations'!$A$5:$B$182,2,FALSE)</f>
        <v>Poste 942</v>
      </c>
      <c r="H770">
        <v>151.66999999999999</v>
      </c>
    </row>
    <row r="771" spans="1:9" x14ac:dyDescent="0.25">
      <c r="A771">
        <v>439</v>
      </c>
      <c r="B771" t="s">
        <v>147</v>
      </c>
      <c r="C771">
        <v>2023</v>
      </c>
      <c r="F771" s="13">
        <v>1030</v>
      </c>
      <c r="G771" t="str">
        <f>VLOOKUP(F771,'Liste Formations'!$A$5:$B$182,2,FALSE)</f>
        <v>Utilisation PTI</v>
      </c>
      <c r="H771">
        <v>0.5</v>
      </c>
    </row>
    <row r="772" spans="1:9" x14ac:dyDescent="0.25">
      <c r="A772">
        <v>439</v>
      </c>
      <c r="B772" t="s">
        <v>147</v>
      </c>
      <c r="C772">
        <v>2024</v>
      </c>
      <c r="F772" s="13">
        <v>1002</v>
      </c>
      <c r="G772" t="str">
        <f>VLOOKUP(F772,'Liste Formations'!$A$5:$B$182,2,FALSE)</f>
        <v>Conduite Chariots Cat.3 et Cat.5</v>
      </c>
      <c r="H772">
        <v>7</v>
      </c>
    </row>
    <row r="773" spans="1:9" x14ac:dyDescent="0.25">
      <c r="A773">
        <v>439</v>
      </c>
      <c r="B773" t="s">
        <v>147</v>
      </c>
      <c r="C773">
        <v>2025</v>
      </c>
      <c r="D773" s="18">
        <v>45820</v>
      </c>
      <c r="E773" s="18">
        <v>45820</v>
      </c>
      <c r="F773" s="13">
        <v>2031</v>
      </c>
      <c r="G773" s="15" t="s">
        <v>180</v>
      </c>
      <c r="H773" s="77">
        <v>1.5</v>
      </c>
      <c r="I773" t="s">
        <v>304</v>
      </c>
    </row>
    <row r="775" spans="1:9" x14ac:dyDescent="0.25">
      <c r="A775">
        <v>473</v>
      </c>
      <c r="B775" t="s">
        <v>95</v>
      </c>
      <c r="C775">
        <v>2023</v>
      </c>
      <c r="F775" s="13">
        <v>1010</v>
      </c>
      <c r="G775" t="s">
        <v>222</v>
      </c>
      <c r="H775">
        <v>2</v>
      </c>
    </row>
    <row r="776" spans="1:9" x14ac:dyDescent="0.25">
      <c r="A776">
        <v>473</v>
      </c>
      <c r="B776" t="s">
        <v>95</v>
      </c>
      <c r="C776">
        <v>2023</v>
      </c>
      <c r="F776" s="13">
        <v>1009</v>
      </c>
      <c r="G776" t="str">
        <f>VLOOKUP(F776,'Liste Formations'!$A$5:$B$182,2,FALSE)</f>
        <v>Défibrillateur</v>
      </c>
      <c r="H776">
        <v>2</v>
      </c>
    </row>
    <row r="777" spans="1:9" x14ac:dyDescent="0.25">
      <c r="A777">
        <v>473</v>
      </c>
      <c r="B777" t="s">
        <v>95</v>
      </c>
      <c r="C777">
        <v>2023</v>
      </c>
      <c r="F777" s="13">
        <v>2040</v>
      </c>
      <c r="G777" t="str">
        <f>VLOOKUP(F777,'Liste Formations'!$A$5:$B$182,2,FALSE)</f>
        <v xml:space="preserve">Anglais </v>
      </c>
      <c r="H777">
        <v>21</v>
      </c>
    </row>
    <row r="778" spans="1:9" x14ac:dyDescent="0.25">
      <c r="A778">
        <v>473</v>
      </c>
      <c r="B778" t="s">
        <v>95</v>
      </c>
      <c r="C778">
        <v>2024</v>
      </c>
      <c r="F778" s="13">
        <v>2020</v>
      </c>
      <c r="G778" t="str">
        <f>VLOOKUP(F778,'Liste Formations'!$A$5:$B$182,2,FALSE)</f>
        <v>Utilisation CHEMKER</v>
      </c>
      <c r="H778">
        <v>1.5</v>
      </c>
    </row>
    <row r="779" spans="1:9" x14ac:dyDescent="0.25">
      <c r="A779">
        <v>473</v>
      </c>
      <c r="B779" t="s">
        <v>95</v>
      </c>
      <c r="C779">
        <v>2024</v>
      </c>
      <c r="F779" s="13">
        <v>2031</v>
      </c>
      <c r="G779" t="str">
        <f>VLOOKUP(F779,'Liste Formations'!$A$5:$B$182,2,FALSE)</f>
        <v>Qualité</v>
      </c>
      <c r="H779">
        <v>2</v>
      </c>
    </row>
    <row r="780" spans="1:9" x14ac:dyDescent="0.25">
      <c r="A780">
        <v>473</v>
      </c>
      <c r="B780" t="s">
        <v>95</v>
      </c>
      <c r="C780">
        <v>2024</v>
      </c>
      <c r="F780" s="13">
        <v>2040</v>
      </c>
      <c r="G780" t="str">
        <f>VLOOKUP(F780,'Liste Formations'!$A$5:$B$182,2,FALSE)</f>
        <v xml:space="preserve">Anglais </v>
      </c>
      <c r="H780">
        <v>9</v>
      </c>
    </row>
    <row r="781" spans="1:9" x14ac:dyDescent="0.25">
      <c r="A781">
        <v>473</v>
      </c>
      <c r="B781" t="s">
        <v>95</v>
      </c>
      <c r="C781">
        <v>2024</v>
      </c>
      <c r="F781" s="13">
        <v>2041</v>
      </c>
      <c r="G781" t="str">
        <f>VLOOKUP(F781,'Liste Formations'!$A$5:$B$182,2,FALSE)</f>
        <v>Excel</v>
      </c>
      <c r="H781">
        <v>14</v>
      </c>
    </row>
    <row r="782" spans="1:9" x14ac:dyDescent="0.25">
      <c r="A782">
        <v>473</v>
      </c>
      <c r="B782" t="s">
        <v>95</v>
      </c>
      <c r="C782">
        <v>2024</v>
      </c>
      <c r="F782" s="13">
        <v>2044</v>
      </c>
      <c r="G782" t="str">
        <f>VLOOKUP(F782,'Liste Formations'!$A$5:$B$182,2,FALSE)</f>
        <v>WORD PRESS</v>
      </c>
      <c r="H782">
        <v>14</v>
      </c>
    </row>
    <row r="784" spans="1:9" x14ac:dyDescent="0.25">
      <c r="A784">
        <v>496</v>
      </c>
      <c r="B784" t="s">
        <v>275</v>
      </c>
      <c r="C784">
        <v>2025</v>
      </c>
      <c r="D784" s="18">
        <v>45667</v>
      </c>
      <c r="E784" s="18">
        <v>45698</v>
      </c>
      <c r="F784" s="13">
        <v>3041</v>
      </c>
      <c r="G784" t="str">
        <f>VLOOKUP(F784,'Liste Formations'!$A$5:$B$182,2,FALSE)</f>
        <v>Poste 1405</v>
      </c>
      <c r="H784" s="75">
        <v>70</v>
      </c>
      <c r="I784" t="s">
        <v>308</v>
      </c>
    </row>
    <row r="785" spans="1:9" x14ac:dyDescent="0.25">
      <c r="A785">
        <v>496</v>
      </c>
      <c r="B785" t="s">
        <v>275</v>
      </c>
      <c r="C785">
        <v>2025</v>
      </c>
      <c r="D785" s="18">
        <v>45723</v>
      </c>
      <c r="E785" s="18">
        <v>45754</v>
      </c>
      <c r="F785" s="13">
        <v>3006</v>
      </c>
      <c r="G785" s="15" t="s">
        <v>25</v>
      </c>
      <c r="H785" s="75">
        <v>70</v>
      </c>
      <c r="I785" t="s">
        <v>308</v>
      </c>
    </row>
    <row r="786" spans="1:9" x14ac:dyDescent="0.25">
      <c r="A786">
        <v>496</v>
      </c>
      <c r="B786" t="s">
        <v>275</v>
      </c>
      <c r="C786">
        <v>2025</v>
      </c>
      <c r="D786" s="18">
        <v>45820</v>
      </c>
      <c r="E786" s="18">
        <v>45820</v>
      </c>
      <c r="F786" s="13">
        <v>2031</v>
      </c>
      <c r="G786" s="15" t="s">
        <v>180</v>
      </c>
      <c r="H786" s="77">
        <v>1.5</v>
      </c>
      <c r="I786" t="s">
        <v>304</v>
      </c>
    </row>
    <row r="787" spans="1:9" x14ac:dyDescent="0.25">
      <c r="A787">
        <v>496</v>
      </c>
      <c r="B787" t="s">
        <v>275</v>
      </c>
      <c r="C787">
        <v>2025</v>
      </c>
      <c r="D787" s="18">
        <v>45835</v>
      </c>
      <c r="E787" s="18">
        <v>45842</v>
      </c>
      <c r="F787" s="13">
        <v>1004</v>
      </c>
      <c r="G787" t="s">
        <v>206</v>
      </c>
      <c r="H787" s="77">
        <v>14</v>
      </c>
      <c r="I787" t="s">
        <v>313</v>
      </c>
    </row>
    <row r="788" spans="1:9" x14ac:dyDescent="0.25">
      <c r="D788" s="18"/>
      <c r="E788" s="18"/>
    </row>
    <row r="789" spans="1:9" x14ac:dyDescent="0.25">
      <c r="A789">
        <v>336</v>
      </c>
      <c r="B789" t="s">
        <v>96</v>
      </c>
      <c r="C789">
        <v>2015</v>
      </c>
      <c r="F789" s="13">
        <v>1004</v>
      </c>
      <c r="G789" t="str">
        <f>VLOOKUP(F789,'Liste Formations'!$A$5:$B$182,2,FALSE)</f>
        <v>Conduite Chariots Cat.3</v>
      </c>
      <c r="H789">
        <v>7</v>
      </c>
    </row>
    <row r="790" spans="1:9" x14ac:dyDescent="0.25">
      <c r="A790">
        <v>336</v>
      </c>
      <c r="B790" t="s">
        <v>96</v>
      </c>
      <c r="C790">
        <v>2015</v>
      </c>
      <c r="F790" s="13">
        <v>1009</v>
      </c>
      <c r="G790" t="str">
        <f>VLOOKUP(F790,'Liste Formations'!$A$5:$B$182,2,FALSE)</f>
        <v>Défibrillateur</v>
      </c>
      <c r="H790">
        <v>3</v>
      </c>
    </row>
    <row r="791" spans="1:9" x14ac:dyDescent="0.25">
      <c r="A791">
        <v>336</v>
      </c>
      <c r="B791" t="s">
        <v>96</v>
      </c>
      <c r="C791">
        <v>2015</v>
      </c>
      <c r="F791" s="13">
        <v>2005</v>
      </c>
      <c r="G791" t="str">
        <f>VLOOKUP(F791,'Liste Formations'!$A$5:$B$182,2,FALSE)</f>
        <v>Formation LEAN</v>
      </c>
      <c r="H791">
        <v>2</v>
      </c>
    </row>
    <row r="792" spans="1:9" x14ac:dyDescent="0.25">
      <c r="A792">
        <v>336</v>
      </c>
      <c r="B792" t="s">
        <v>96</v>
      </c>
      <c r="C792">
        <v>2015</v>
      </c>
      <c r="F792" s="13">
        <v>3020</v>
      </c>
      <c r="G792" t="str">
        <f>VLOOKUP(F792,'Liste Formations'!$A$5:$B$182,2,FALSE)</f>
        <v>Poste 908</v>
      </c>
      <c r="H792">
        <v>151.66999999999999</v>
      </c>
    </row>
    <row r="793" spans="1:9" x14ac:dyDescent="0.25">
      <c r="A793">
        <v>336</v>
      </c>
      <c r="B793" t="s">
        <v>96</v>
      </c>
      <c r="C793">
        <v>2017</v>
      </c>
      <c r="F793" s="13">
        <v>3020</v>
      </c>
      <c r="G793" t="str">
        <f>VLOOKUP(F793,'Liste Formations'!$A$5:$B$182,2,FALSE)</f>
        <v>Poste 908</v>
      </c>
      <c r="H793">
        <v>151.66999999999999</v>
      </c>
    </row>
    <row r="794" spans="1:9" x14ac:dyDescent="0.25">
      <c r="A794">
        <v>336</v>
      </c>
      <c r="B794" t="s">
        <v>96</v>
      </c>
      <c r="C794">
        <v>2017</v>
      </c>
      <c r="F794" s="13">
        <v>2007</v>
      </c>
      <c r="G794" t="str">
        <f>VLOOKUP(F794,'Liste Formations'!$A$5:$B$182,2,FALSE)</f>
        <v>ERP DIVALTO</v>
      </c>
      <c r="H794">
        <v>3</v>
      </c>
    </row>
    <row r="795" spans="1:9" x14ac:dyDescent="0.25">
      <c r="A795">
        <v>336</v>
      </c>
      <c r="B795" t="s">
        <v>96</v>
      </c>
      <c r="C795">
        <v>2018</v>
      </c>
      <c r="F795" s="13">
        <v>1010</v>
      </c>
      <c r="G795" t="s">
        <v>222</v>
      </c>
      <c r="H795">
        <v>3</v>
      </c>
    </row>
    <row r="796" spans="1:9" x14ac:dyDescent="0.25">
      <c r="A796">
        <v>336</v>
      </c>
      <c r="B796" t="s">
        <v>96</v>
      </c>
      <c r="C796">
        <v>2018</v>
      </c>
      <c r="F796" s="13">
        <v>1009</v>
      </c>
      <c r="G796" t="str">
        <f>VLOOKUP(F796,'Liste Formations'!$A$5:$B$182,2,FALSE)</f>
        <v>Défibrillateur</v>
      </c>
      <c r="H796">
        <v>3</v>
      </c>
    </row>
    <row r="797" spans="1:9" x14ac:dyDescent="0.25">
      <c r="A797">
        <v>336</v>
      </c>
      <c r="B797" t="s">
        <v>96</v>
      </c>
      <c r="C797">
        <v>2018</v>
      </c>
      <c r="F797" s="13">
        <v>1020</v>
      </c>
      <c r="G797" t="str">
        <f>VLOOKUP(F797,'Liste Formations'!$A$5:$B$182,2,FALSE)</f>
        <v>Prévention TMS - Gestes Postures et Nutrition</v>
      </c>
      <c r="H797">
        <v>3.5</v>
      </c>
    </row>
    <row r="798" spans="1:9" x14ac:dyDescent="0.25">
      <c r="A798">
        <v>336</v>
      </c>
      <c r="B798" t="s">
        <v>96</v>
      </c>
      <c r="C798">
        <v>2018</v>
      </c>
      <c r="F798" s="13">
        <v>3012</v>
      </c>
      <c r="G798" t="str">
        <f>VLOOKUP(F798,'Liste Formations'!$A$5:$B$182,2,FALSE)</f>
        <v>Poste 900</v>
      </c>
      <c r="H798">
        <v>151.66999999999999</v>
      </c>
    </row>
    <row r="799" spans="1:9" x14ac:dyDescent="0.25">
      <c r="A799">
        <v>336</v>
      </c>
      <c r="B799" t="s">
        <v>96</v>
      </c>
      <c r="C799">
        <v>2018</v>
      </c>
      <c r="F799" s="13">
        <v>3043</v>
      </c>
      <c r="G799" t="str">
        <f>VLOOKUP(F799,'Liste Formations'!$A$5:$B$182,2,FALSE)</f>
        <v>Poste 1412</v>
      </c>
      <c r="H799">
        <v>151.66999999999999</v>
      </c>
    </row>
    <row r="800" spans="1:9" x14ac:dyDescent="0.25">
      <c r="A800">
        <v>336</v>
      </c>
      <c r="B800" t="s">
        <v>96</v>
      </c>
      <c r="C800">
        <v>2019</v>
      </c>
      <c r="F800" s="13">
        <v>1028</v>
      </c>
      <c r="G800" t="str">
        <f>VLOOKUP(F800,'Liste Formations'!$A$5:$B$182,2,FALSE)</f>
        <v>PRAP IBC</v>
      </c>
      <c r="H800">
        <v>14</v>
      </c>
    </row>
    <row r="801" spans="1:8" x14ac:dyDescent="0.25">
      <c r="A801">
        <v>336</v>
      </c>
      <c r="B801" t="s">
        <v>96</v>
      </c>
      <c r="C801">
        <v>2020</v>
      </c>
      <c r="F801" s="13">
        <v>1003</v>
      </c>
      <c r="G801" t="str">
        <f>VLOOKUP(F801,'Liste Formations'!$A$5:$B$182,2,FALSE)</f>
        <v>Conduite Chariots Cat.5</v>
      </c>
      <c r="H801">
        <v>7</v>
      </c>
    </row>
    <row r="802" spans="1:8" x14ac:dyDescent="0.25">
      <c r="A802">
        <v>336</v>
      </c>
      <c r="B802" t="s">
        <v>96</v>
      </c>
      <c r="C802">
        <v>2023</v>
      </c>
      <c r="F802" s="13">
        <v>1004</v>
      </c>
      <c r="G802" t="str">
        <f>VLOOKUP(F802,'Liste Formations'!$A$5:$B$182,2,FALSE)</f>
        <v>Conduite Chariots Cat.3</v>
      </c>
      <c r="H802">
        <v>7</v>
      </c>
    </row>
    <row r="803" spans="1:8" x14ac:dyDescent="0.25">
      <c r="A803">
        <v>336</v>
      </c>
      <c r="B803" t="s">
        <v>96</v>
      </c>
      <c r="C803">
        <v>2023</v>
      </c>
      <c r="F803" s="13">
        <v>1012</v>
      </c>
      <c r="G803" t="str">
        <f>VLOOKUP(F803,'Liste Formations'!$A$5:$B$182,2,FALSE)</f>
        <v>ATEX Niveau 0 - Sensibilisation</v>
      </c>
      <c r="H803">
        <v>3.5</v>
      </c>
    </row>
    <row r="804" spans="1:8" x14ac:dyDescent="0.25">
      <c r="A804">
        <v>336</v>
      </c>
      <c r="B804" t="s">
        <v>96</v>
      </c>
      <c r="C804">
        <v>2023</v>
      </c>
      <c r="F804" s="13">
        <v>1014</v>
      </c>
      <c r="G804" t="str">
        <f>VLOOKUP(F804,'Liste Formations'!$A$5:$B$182,2,FALSE)</f>
        <v>Membres CSE</v>
      </c>
      <c r="H804">
        <v>35</v>
      </c>
    </row>
    <row r="805" spans="1:8" x14ac:dyDescent="0.25">
      <c r="A805">
        <v>336</v>
      </c>
      <c r="B805" t="s">
        <v>96</v>
      </c>
      <c r="C805">
        <v>2023</v>
      </c>
      <c r="F805" s="13">
        <v>1024</v>
      </c>
      <c r="G805" t="str">
        <f>VLOOKUP(F805,'Liste Formations'!$A$5:$B$182,2,FALSE)</f>
        <v>Déversement granulés</v>
      </c>
      <c r="H805">
        <v>0.5</v>
      </c>
    </row>
    <row r="806" spans="1:8" x14ac:dyDescent="0.25">
      <c r="A806">
        <v>336</v>
      </c>
      <c r="B806" t="s">
        <v>96</v>
      </c>
      <c r="C806">
        <v>2023</v>
      </c>
      <c r="F806" s="13">
        <v>1030</v>
      </c>
      <c r="G806" t="str">
        <f>VLOOKUP(F806,'Liste Formations'!$A$5:$B$182,2,FALSE)</f>
        <v>Utilisation PTI</v>
      </c>
      <c r="H806">
        <v>0.5</v>
      </c>
    </row>
    <row r="807" spans="1:8" x14ac:dyDescent="0.25">
      <c r="A807">
        <v>336</v>
      </c>
      <c r="B807" t="s">
        <v>96</v>
      </c>
      <c r="C807">
        <v>2024</v>
      </c>
      <c r="F807" s="13">
        <v>1020</v>
      </c>
      <c r="G807" t="str">
        <f>VLOOKUP(F807,'Liste Formations'!$A$5:$B$182,2,FALSE)</f>
        <v>Prévention TMS - Gestes Postures et Nutrition</v>
      </c>
      <c r="H807">
        <v>3.5</v>
      </c>
    </row>
    <row r="808" spans="1:8" x14ac:dyDescent="0.25">
      <c r="A808">
        <v>336</v>
      </c>
      <c r="B808" t="s">
        <v>96</v>
      </c>
      <c r="C808">
        <v>2024</v>
      </c>
      <c r="F808" s="13">
        <v>1032</v>
      </c>
      <c r="G808" t="str">
        <f>VLOOKUP(F808,'Liste Formations'!$A$5:$B$182,2,FALSE)</f>
        <v>Sensibilisation RPS Risques Psychosociaux</v>
      </c>
      <c r="H808">
        <v>2</v>
      </c>
    </row>
    <row r="809" spans="1:8" x14ac:dyDescent="0.25">
      <c r="A809">
        <v>336</v>
      </c>
      <c r="B809" t="s">
        <v>96</v>
      </c>
      <c r="C809">
        <v>2024</v>
      </c>
      <c r="F809" s="13">
        <v>1033</v>
      </c>
      <c r="G809" t="str">
        <f>VLOOKUP(F809,'Liste Formations'!$A$5:$B$182,2,FALSE)</f>
        <v>Sensibilisation aux addictions</v>
      </c>
      <c r="H809">
        <v>1.5</v>
      </c>
    </row>
    <row r="810" spans="1:8" x14ac:dyDescent="0.25">
      <c r="A810">
        <v>336</v>
      </c>
      <c r="B810" t="s">
        <v>96</v>
      </c>
      <c r="C810">
        <v>2024</v>
      </c>
      <c r="F810" s="13">
        <v>3032</v>
      </c>
      <c r="G810" t="str">
        <f>VLOOKUP(F810,'Liste Formations'!$A$5:$B$182,2,FALSE)</f>
        <v>Poste 1100</v>
      </c>
      <c r="H810">
        <v>35</v>
      </c>
    </row>
    <row r="811" spans="1:8" x14ac:dyDescent="0.25">
      <c r="A811">
        <v>336</v>
      </c>
      <c r="B811" t="s">
        <v>96</v>
      </c>
      <c r="C811">
        <v>2024</v>
      </c>
      <c r="F811" s="13">
        <v>3037</v>
      </c>
      <c r="G811" t="str">
        <f>VLOOKUP(F811,'Liste Formations'!$A$5:$B$182,2,FALSE)</f>
        <v>Poste 1121</v>
      </c>
      <c r="H811">
        <v>35</v>
      </c>
    </row>
    <row r="815" spans="1:8" x14ac:dyDescent="0.25">
      <c r="A815">
        <v>310</v>
      </c>
      <c r="B815" t="s">
        <v>272</v>
      </c>
      <c r="C815">
        <v>2014</v>
      </c>
      <c r="F815" s="13">
        <v>1004</v>
      </c>
      <c r="G815" t="str">
        <f>VLOOKUP(F815,'Liste Formations'!$A$5:$B$182,2,FALSE)</f>
        <v>Conduite Chariots Cat.3</v>
      </c>
      <c r="H815">
        <v>7</v>
      </c>
    </row>
    <row r="816" spans="1:8" x14ac:dyDescent="0.25">
      <c r="A816">
        <v>310</v>
      </c>
      <c r="B816" t="s">
        <v>272</v>
      </c>
      <c r="C816">
        <v>2014</v>
      </c>
      <c r="F816" s="13">
        <v>1011</v>
      </c>
      <c r="G816" t="str">
        <f>VLOOKUP(F816,'Liste Formations'!$A$5:$B$182,2,FALSE)</f>
        <v>UTI.COM - SSI / CHUBB</v>
      </c>
      <c r="H816">
        <v>4</v>
      </c>
    </row>
    <row r="817" spans="1:8" x14ac:dyDescent="0.25">
      <c r="A817">
        <v>310</v>
      </c>
      <c r="B817" t="s">
        <v>272</v>
      </c>
      <c r="C817">
        <v>2016</v>
      </c>
      <c r="F817" s="13">
        <v>2007</v>
      </c>
      <c r="G817" t="str">
        <f>VLOOKUP(F817,'Liste Formations'!$A$5:$B$182,2,FALSE)</f>
        <v>ERP DIVALTO</v>
      </c>
      <c r="H817">
        <v>156</v>
      </c>
    </row>
    <row r="818" spans="1:8" x14ac:dyDescent="0.25">
      <c r="A818">
        <v>310</v>
      </c>
      <c r="B818" t="s">
        <v>272</v>
      </c>
      <c r="C818">
        <v>2017</v>
      </c>
      <c r="F818" s="13">
        <v>2007</v>
      </c>
      <c r="G818" t="str">
        <f>VLOOKUP(F818,'Liste Formations'!$A$5:$B$182,2,FALSE)</f>
        <v>ERP DIVALTO</v>
      </c>
      <c r="H818">
        <v>77</v>
      </c>
    </row>
    <row r="819" spans="1:8" x14ac:dyDescent="0.25">
      <c r="A819">
        <v>310</v>
      </c>
      <c r="B819" t="s">
        <v>272</v>
      </c>
      <c r="C819">
        <v>2017</v>
      </c>
      <c r="F819" s="13">
        <v>2018</v>
      </c>
      <c r="G819" t="str">
        <f>VLOOKUP(F819,'Liste Formations'!$A$5:$B$182,2,FALSE)</f>
        <v xml:space="preserve">Utilisation nouvelle PAE Pompe à engrenage / UTH </v>
      </c>
      <c r="H819">
        <v>14</v>
      </c>
    </row>
    <row r="820" spans="1:8" x14ac:dyDescent="0.25">
      <c r="A820">
        <v>310</v>
      </c>
      <c r="B820" t="s">
        <v>272</v>
      </c>
      <c r="C820">
        <v>2017</v>
      </c>
      <c r="F820" s="13">
        <v>1010</v>
      </c>
      <c r="G820" t="str">
        <f>VLOOKUP(F820,'Liste Formations'!$A$5:$B$182,2,FALSE)</f>
        <v>Incendie</v>
      </c>
      <c r="H820">
        <v>2</v>
      </c>
    </row>
    <row r="821" spans="1:8" x14ac:dyDescent="0.25">
      <c r="A821">
        <v>310</v>
      </c>
      <c r="B821" t="s">
        <v>272</v>
      </c>
      <c r="C821">
        <v>2018</v>
      </c>
      <c r="F821" s="13">
        <v>1004</v>
      </c>
      <c r="G821" t="str">
        <f>VLOOKUP(F821,'Liste Formations'!$A$5:$B$182,2,FALSE)</f>
        <v>Conduite Chariots Cat.3</v>
      </c>
      <c r="H821">
        <v>7</v>
      </c>
    </row>
    <row r="822" spans="1:8" x14ac:dyDescent="0.25">
      <c r="A822">
        <v>310</v>
      </c>
      <c r="B822" t="s">
        <v>272</v>
      </c>
      <c r="C822">
        <v>2018</v>
      </c>
      <c r="F822" s="13">
        <v>1020</v>
      </c>
      <c r="G822" t="str">
        <f>VLOOKUP(F822,'Liste Formations'!$A$5:$B$182,2,FALSE)</f>
        <v>Prévention TMS - Gestes Postures et Nutrition</v>
      </c>
      <c r="H822">
        <v>3.5</v>
      </c>
    </row>
    <row r="823" spans="1:8" x14ac:dyDescent="0.25">
      <c r="A823">
        <v>310</v>
      </c>
      <c r="B823" t="s">
        <v>272</v>
      </c>
      <c r="C823">
        <v>2018</v>
      </c>
      <c r="F823" s="13">
        <v>2038</v>
      </c>
      <c r="G823" t="str">
        <f>VLOOKUP(F823,'Liste Formations'!$A$5:$B$182,2,FALSE)</f>
        <v>My 
Report</v>
      </c>
      <c r="H823">
        <v>7</v>
      </c>
    </row>
    <row r="824" spans="1:8" x14ac:dyDescent="0.25">
      <c r="A824">
        <v>310</v>
      </c>
      <c r="B824" t="s">
        <v>272</v>
      </c>
      <c r="C824">
        <v>2019</v>
      </c>
      <c r="F824" s="13">
        <v>2038</v>
      </c>
      <c r="G824" t="str">
        <f>VLOOKUP(F824,'Liste Formations'!$A$5:$B$182,2,FALSE)</f>
        <v>My 
Report</v>
      </c>
      <c r="H824">
        <v>14</v>
      </c>
    </row>
    <row r="825" spans="1:8" x14ac:dyDescent="0.25">
      <c r="A825">
        <v>310</v>
      </c>
      <c r="B825" t="s">
        <v>272</v>
      </c>
      <c r="C825">
        <v>2019</v>
      </c>
      <c r="F825" s="13">
        <v>2039</v>
      </c>
      <c r="G825" t="str">
        <f>VLOOKUP(F825,'Liste Formations'!$A$5:$B$182,2,FALSE)</f>
        <v>HOROQUARTZ</v>
      </c>
      <c r="H825">
        <v>14</v>
      </c>
    </row>
    <row r="826" spans="1:8" x14ac:dyDescent="0.25">
      <c r="A826">
        <v>310</v>
      </c>
      <c r="B826" t="s">
        <v>272</v>
      </c>
      <c r="C826">
        <v>2019</v>
      </c>
      <c r="F826" s="13">
        <v>2021</v>
      </c>
      <c r="G826" t="str">
        <f>VLOOKUP(F826,'Liste Formations'!$A$5:$B$182,2,FALSE)</f>
        <v>ENTERPRISE / ALPHA TECHNOLOGIE</v>
      </c>
      <c r="H826">
        <v>11</v>
      </c>
    </row>
    <row r="827" spans="1:8" x14ac:dyDescent="0.25">
      <c r="A827">
        <v>310</v>
      </c>
      <c r="B827" t="s">
        <v>272</v>
      </c>
      <c r="C827">
        <v>2019</v>
      </c>
      <c r="F827" s="13">
        <v>2007</v>
      </c>
      <c r="G827" t="str">
        <f>VLOOKUP(F827,'Liste Formations'!$A$5:$B$182,2,FALSE)</f>
        <v>ERP DIVALTO</v>
      </c>
      <c r="H827">
        <v>31.5</v>
      </c>
    </row>
    <row r="828" spans="1:8" x14ac:dyDescent="0.25">
      <c r="A828">
        <v>310</v>
      </c>
      <c r="B828" t="s">
        <v>272</v>
      </c>
      <c r="C828">
        <v>2019</v>
      </c>
      <c r="F828" s="13">
        <v>1016</v>
      </c>
      <c r="G828" t="str">
        <f>VLOOKUP(F828,'Liste Formations'!$A$5:$B$182,2,FALSE)</f>
        <v>S.S.T. Sauveteurs Secourites du Travail</v>
      </c>
      <c r="H828">
        <v>14</v>
      </c>
    </row>
    <row r="829" spans="1:8" x14ac:dyDescent="0.25">
      <c r="A829">
        <v>310</v>
      </c>
      <c r="B829" t="s">
        <v>272</v>
      </c>
      <c r="C829">
        <v>2022</v>
      </c>
      <c r="F829" s="13">
        <v>1017</v>
      </c>
      <c r="G829" t="str">
        <f>VLOOKUP(F829,'Liste Formations'!$A$5:$B$182,2,FALSE)</f>
        <v>R. S.S.T. Recyclage Sauveteurs Secourites du Travail</v>
      </c>
      <c r="H829">
        <v>7</v>
      </c>
    </row>
    <row r="830" spans="1:8" x14ac:dyDescent="0.25">
      <c r="A830">
        <v>310</v>
      </c>
      <c r="B830" t="s">
        <v>272</v>
      </c>
      <c r="C830">
        <v>2022</v>
      </c>
      <c r="F830" s="13">
        <v>2008</v>
      </c>
      <c r="G830" t="str">
        <f>VLOOKUP(F830,'Liste Formations'!$A$5:$B$182,2,FALSE)</f>
        <v>Chef Projet Robot</v>
      </c>
      <c r="H830">
        <v>17</v>
      </c>
    </row>
    <row r="831" spans="1:8" x14ac:dyDescent="0.25">
      <c r="A831">
        <v>310</v>
      </c>
      <c r="B831" t="s">
        <v>272</v>
      </c>
      <c r="C831">
        <v>2022</v>
      </c>
      <c r="F831" s="13">
        <v>2010</v>
      </c>
      <c r="G831" t="str">
        <f>VLOOKUP(F831,'Liste Formations'!$A$5:$B$182,2,FALSE)</f>
        <v>Manager leader</v>
      </c>
      <c r="H831">
        <v>70</v>
      </c>
    </row>
    <row r="832" spans="1:8" x14ac:dyDescent="0.25">
      <c r="A832">
        <v>310</v>
      </c>
      <c r="B832" t="s">
        <v>272</v>
      </c>
      <c r="C832">
        <v>2022</v>
      </c>
      <c r="F832" s="13">
        <v>2013</v>
      </c>
      <c r="G832" t="str">
        <f>VLOOKUP(F832,'Liste Formations'!$A$5:$B$182,2,FALSE)</f>
        <v>Auditeur interne ISO 9001/IATF</v>
      </c>
      <c r="H832">
        <v>28</v>
      </c>
    </row>
    <row r="833" spans="1:9" x14ac:dyDescent="0.25">
      <c r="A833">
        <v>310</v>
      </c>
      <c r="B833" t="s">
        <v>272</v>
      </c>
      <c r="C833">
        <v>2023</v>
      </c>
      <c r="F833" s="13">
        <v>2029</v>
      </c>
      <c r="G833" t="str">
        <f>VLOOKUP(F833,'Liste Formations'!$A$5:$B$182,2,FALSE)</f>
        <v>CORE
TOOLS</v>
      </c>
      <c r="H833">
        <v>35</v>
      </c>
    </row>
    <row r="834" spans="1:9" x14ac:dyDescent="0.25">
      <c r="A834">
        <v>310</v>
      </c>
      <c r="B834" t="s">
        <v>272</v>
      </c>
      <c r="C834">
        <v>2023</v>
      </c>
      <c r="F834" s="13">
        <v>2030</v>
      </c>
      <c r="G834" t="str">
        <f>VLOOKUP(F834,'Liste Formations'!$A$5:$B$182,2,FALSE)</f>
        <v>AMDEC</v>
      </c>
      <c r="H834">
        <v>14</v>
      </c>
    </row>
    <row r="835" spans="1:9" x14ac:dyDescent="0.25">
      <c r="A835">
        <v>310</v>
      </c>
      <c r="B835" t="s">
        <v>272</v>
      </c>
      <c r="C835">
        <v>2023</v>
      </c>
      <c r="F835" s="13">
        <v>2035</v>
      </c>
      <c r="G835" t="str">
        <f>VLOOKUP(F835,'Liste Formations'!$A$5:$B$182,2,FALSE)</f>
        <v>QT
QLM</v>
      </c>
      <c r="H835">
        <v>21</v>
      </c>
    </row>
    <row r="836" spans="1:9" x14ac:dyDescent="0.25">
      <c r="A836">
        <v>310</v>
      </c>
      <c r="B836" t="s">
        <v>272</v>
      </c>
      <c r="C836">
        <v>2023</v>
      </c>
      <c r="F836" s="13">
        <v>2038</v>
      </c>
      <c r="G836" t="str">
        <f>VLOOKUP(F836,'Liste Formations'!$A$5:$B$182,2,FALSE)</f>
        <v>My 
Report</v>
      </c>
      <c r="H836">
        <v>28</v>
      </c>
    </row>
    <row r="837" spans="1:9" x14ac:dyDescent="0.25">
      <c r="A837">
        <v>310</v>
      </c>
      <c r="B837" t="s">
        <v>272</v>
      </c>
      <c r="C837">
        <v>2023</v>
      </c>
      <c r="F837" s="13">
        <v>1004</v>
      </c>
      <c r="G837" t="str">
        <f>VLOOKUP(F837,'Liste Formations'!$A$5:$B$182,2,FALSE)</f>
        <v>Conduite Chariots Cat.3</v>
      </c>
      <c r="H837">
        <v>7</v>
      </c>
    </row>
    <row r="838" spans="1:9" x14ac:dyDescent="0.25">
      <c r="A838">
        <v>310</v>
      </c>
      <c r="B838" t="s">
        <v>272</v>
      </c>
      <c r="C838">
        <v>2024</v>
      </c>
      <c r="F838" s="13">
        <v>2015</v>
      </c>
      <c r="G838" t="s">
        <v>197</v>
      </c>
      <c r="H838">
        <v>7</v>
      </c>
    </row>
    <row r="839" spans="1:9" x14ac:dyDescent="0.25">
      <c r="A839">
        <v>310</v>
      </c>
      <c r="B839" t="s">
        <v>272</v>
      </c>
      <c r="C839">
        <v>2024</v>
      </c>
      <c r="F839" s="13">
        <v>2016</v>
      </c>
      <c r="G839" t="s">
        <v>176</v>
      </c>
      <c r="H839">
        <v>28</v>
      </c>
    </row>
    <row r="840" spans="1:9" x14ac:dyDescent="0.25">
      <c r="A840">
        <v>310</v>
      </c>
      <c r="B840" t="s">
        <v>272</v>
      </c>
      <c r="C840">
        <v>2024</v>
      </c>
      <c r="F840" s="13">
        <v>2010</v>
      </c>
      <c r="G840" t="s">
        <v>9</v>
      </c>
      <c r="H840">
        <v>49</v>
      </c>
    </row>
    <row r="841" spans="1:9" x14ac:dyDescent="0.25">
      <c r="A841">
        <v>310</v>
      </c>
      <c r="B841" t="s">
        <v>272</v>
      </c>
      <c r="C841">
        <v>2024</v>
      </c>
      <c r="F841" s="13">
        <v>2035</v>
      </c>
      <c r="G841" s="15" t="s">
        <v>13</v>
      </c>
      <c r="H841">
        <v>42</v>
      </c>
    </row>
    <row r="842" spans="1:9" x14ac:dyDescent="0.25">
      <c r="A842">
        <v>310</v>
      </c>
      <c r="B842" t="s">
        <v>272</v>
      </c>
      <c r="C842">
        <v>2024</v>
      </c>
      <c r="F842" s="13">
        <v>1032</v>
      </c>
      <c r="G842" t="str">
        <f>VLOOKUP(F842,'Liste Formations'!$A$5:$B$182,2,FALSE)</f>
        <v>Sensibilisation RPS Risques Psychosociaux</v>
      </c>
      <c r="H842">
        <v>2</v>
      </c>
    </row>
    <row r="843" spans="1:9" x14ac:dyDescent="0.25">
      <c r="A843">
        <v>310</v>
      </c>
      <c r="B843" t="s">
        <v>272</v>
      </c>
      <c r="C843">
        <v>2025</v>
      </c>
      <c r="D843" s="18">
        <v>45684</v>
      </c>
      <c r="E843" s="18">
        <v>45684</v>
      </c>
      <c r="F843" s="13">
        <v>2049</v>
      </c>
      <c r="G843" t="str">
        <f>VLOOKUP(F843,'Liste Formations'!$A$5:$B$182,2,FALSE)</f>
        <v>Revue plan d'urgence et Revue analyse PIEU</v>
      </c>
      <c r="H843" s="75">
        <v>0.5</v>
      </c>
      <c r="I843" t="s">
        <v>309</v>
      </c>
    </row>
    <row r="844" spans="1:9" x14ac:dyDescent="0.25">
      <c r="A844">
        <v>310</v>
      </c>
      <c r="B844" t="s">
        <v>272</v>
      </c>
      <c r="C844">
        <v>2025</v>
      </c>
      <c r="D844" s="18">
        <v>37363</v>
      </c>
      <c r="E844" s="18">
        <v>45765</v>
      </c>
      <c r="F844" s="13">
        <v>2053</v>
      </c>
      <c r="G844" t="s">
        <v>285</v>
      </c>
      <c r="H844" s="75">
        <v>14</v>
      </c>
      <c r="I844" t="s">
        <v>286</v>
      </c>
    </row>
    <row r="845" spans="1:9" x14ac:dyDescent="0.25">
      <c r="A845">
        <v>310</v>
      </c>
      <c r="B845" t="s">
        <v>272</v>
      </c>
      <c r="C845">
        <v>2025</v>
      </c>
      <c r="D845" s="18">
        <v>45796</v>
      </c>
      <c r="E845" s="18">
        <v>45797</v>
      </c>
      <c r="F845" s="13">
        <v>2034</v>
      </c>
      <c r="G845" t="str">
        <f>VLOOKUP(F845,'Liste Formations'!$A$5:$B$182,2,FALSE)</f>
        <v>PSCR Représentant de la sécurité produit et de la conformité dans l'industrie automobile</v>
      </c>
      <c r="H845" s="75">
        <v>14</v>
      </c>
      <c r="I845" t="s">
        <v>287</v>
      </c>
    </row>
    <row r="847" spans="1:9" x14ac:dyDescent="0.25">
      <c r="A847">
        <v>409</v>
      </c>
      <c r="B847" t="s">
        <v>148</v>
      </c>
      <c r="C847">
        <v>2020</v>
      </c>
      <c r="F847" s="13">
        <v>3010</v>
      </c>
      <c r="G847" t="str">
        <f>VLOOKUP(F847,'Liste Formations'!$A$5:$B$182,2,FALSE)</f>
        <v>Poste 830</v>
      </c>
      <c r="H847">
        <v>151.66999999999999</v>
      </c>
    </row>
    <row r="848" spans="1:9" x14ac:dyDescent="0.25">
      <c r="A848">
        <v>409</v>
      </c>
      <c r="B848" t="s">
        <v>148</v>
      </c>
      <c r="C848">
        <v>2020</v>
      </c>
      <c r="F848" s="13">
        <v>3013</v>
      </c>
      <c r="G848" t="str">
        <f>VLOOKUP(F848,'Liste Formations'!$A$5:$B$182,2,FALSE)</f>
        <v>Poste 901</v>
      </c>
      <c r="H848">
        <v>120</v>
      </c>
    </row>
    <row r="849" spans="1:10" x14ac:dyDescent="0.25">
      <c r="A849">
        <v>409</v>
      </c>
      <c r="B849" t="s">
        <v>148</v>
      </c>
      <c r="C849">
        <v>2021</v>
      </c>
      <c r="F849" s="13">
        <v>3006</v>
      </c>
      <c r="G849" t="str">
        <f>VLOOKUP(F849,'Liste Formations'!$A$5:$B$182,2,FALSE)</f>
        <v>Poste 515</v>
      </c>
      <c r="H849">
        <v>151.66999999999999</v>
      </c>
    </row>
    <row r="850" spans="1:10" x14ac:dyDescent="0.25">
      <c r="A850">
        <v>409</v>
      </c>
      <c r="B850" t="s">
        <v>148</v>
      </c>
      <c r="C850">
        <v>2021</v>
      </c>
      <c r="F850" s="13">
        <v>1004</v>
      </c>
      <c r="G850" t="str">
        <f>VLOOKUP(F850,'Liste Formations'!$A$5:$B$182,2,FALSE)</f>
        <v>Conduite Chariots Cat.3</v>
      </c>
      <c r="H850">
        <v>7</v>
      </c>
    </row>
    <row r="851" spans="1:10" x14ac:dyDescent="0.25">
      <c r="A851">
        <v>409</v>
      </c>
      <c r="B851" t="s">
        <v>148</v>
      </c>
      <c r="C851">
        <v>2022</v>
      </c>
      <c r="F851" s="13">
        <v>3006</v>
      </c>
      <c r="G851" t="str">
        <f>VLOOKUP(F851,'Liste Formations'!$A$5:$B$182,2,FALSE)</f>
        <v>Poste 515</v>
      </c>
      <c r="H851">
        <v>151.66999999999999</v>
      </c>
    </row>
    <row r="852" spans="1:10" x14ac:dyDescent="0.25">
      <c r="A852">
        <v>409</v>
      </c>
      <c r="B852" t="s">
        <v>148</v>
      </c>
      <c r="C852">
        <v>2023</v>
      </c>
      <c r="F852" s="13">
        <v>1030</v>
      </c>
      <c r="G852" t="str">
        <f>VLOOKUP(F852,'Liste Formations'!$A$5:$B$182,2,FALSE)</f>
        <v>Utilisation PTI</v>
      </c>
      <c r="H852">
        <v>0.5</v>
      </c>
    </row>
    <row r="853" spans="1:10" x14ac:dyDescent="0.25">
      <c r="A853">
        <v>409</v>
      </c>
      <c r="B853" t="s">
        <v>148</v>
      </c>
      <c r="C853">
        <v>2024</v>
      </c>
      <c r="F853" s="13">
        <v>1016</v>
      </c>
      <c r="G853" t="s">
        <v>207</v>
      </c>
      <c r="H853">
        <v>14</v>
      </c>
    </row>
    <row r="854" spans="1:10" x14ac:dyDescent="0.25">
      <c r="A854">
        <v>409</v>
      </c>
      <c r="B854" t="s">
        <v>148</v>
      </c>
      <c r="C854">
        <v>2024</v>
      </c>
      <c r="F854" s="13">
        <v>3037</v>
      </c>
      <c r="G854" s="15" t="s">
        <v>29</v>
      </c>
      <c r="H854" s="73">
        <v>35</v>
      </c>
      <c r="J854" s="73"/>
    </row>
    <row r="855" spans="1:10" x14ac:dyDescent="0.25">
      <c r="A855">
        <v>409</v>
      </c>
      <c r="B855" t="s">
        <v>148</v>
      </c>
      <c r="C855">
        <v>2024</v>
      </c>
      <c r="F855" s="13">
        <v>3032</v>
      </c>
      <c r="G855" s="15" t="s">
        <v>30</v>
      </c>
      <c r="H855" s="73">
        <v>35</v>
      </c>
      <c r="J855" s="73"/>
    </row>
    <row r="856" spans="1:10" x14ac:dyDescent="0.25">
      <c r="A856">
        <v>409</v>
      </c>
      <c r="B856" t="s">
        <v>148</v>
      </c>
      <c r="C856">
        <v>2024</v>
      </c>
      <c r="F856" s="13">
        <v>3011</v>
      </c>
      <c r="G856" s="15" t="s">
        <v>238</v>
      </c>
      <c r="H856" s="73">
        <v>16</v>
      </c>
      <c r="J856" s="73"/>
    </row>
    <row r="858" spans="1:10" x14ac:dyDescent="0.25">
      <c r="A858">
        <v>478</v>
      </c>
      <c r="B858" t="s">
        <v>98</v>
      </c>
      <c r="C858">
        <v>2023</v>
      </c>
      <c r="F858" s="13">
        <v>3013</v>
      </c>
      <c r="G858" t="str">
        <f>VLOOKUP(F858,'Liste Formations'!$A$5:$B$182,2,FALSE)</f>
        <v>Poste 901</v>
      </c>
      <c r="H858" s="73">
        <v>151.66999999999999</v>
      </c>
    </row>
    <row r="859" spans="1:10" x14ac:dyDescent="0.25">
      <c r="A859">
        <v>478</v>
      </c>
      <c r="B859" t="s">
        <v>98</v>
      </c>
      <c r="C859">
        <v>2023</v>
      </c>
      <c r="F859" s="13">
        <v>3023</v>
      </c>
      <c r="G859" t="str">
        <f>VLOOKUP(F859,'Liste Formations'!$A$5:$B$182,2,FALSE)</f>
        <v>Poste 923</v>
      </c>
      <c r="H859" s="73">
        <v>151.66999999999999</v>
      </c>
    </row>
    <row r="860" spans="1:10" x14ac:dyDescent="0.25">
      <c r="A860">
        <v>478</v>
      </c>
      <c r="B860" t="s">
        <v>98</v>
      </c>
      <c r="C860">
        <v>2024</v>
      </c>
      <c r="F860" s="13">
        <v>3005</v>
      </c>
      <c r="G860" t="s">
        <v>31</v>
      </c>
      <c r="H860">
        <v>70</v>
      </c>
    </row>
    <row r="861" spans="1:10" x14ac:dyDescent="0.25">
      <c r="A861">
        <v>478</v>
      </c>
      <c r="B861" t="s">
        <v>98</v>
      </c>
      <c r="C861">
        <v>2024</v>
      </c>
      <c r="F861" s="13">
        <v>3006</v>
      </c>
      <c r="G861" s="15" t="s">
        <v>25</v>
      </c>
      <c r="H861" s="73">
        <v>70</v>
      </c>
    </row>
    <row r="863" spans="1:10" x14ac:dyDescent="0.25">
      <c r="A863">
        <v>498</v>
      </c>
      <c r="B863" t="s">
        <v>305</v>
      </c>
      <c r="C863">
        <v>2025</v>
      </c>
      <c r="D863" s="18">
        <v>45820</v>
      </c>
      <c r="E863" s="18">
        <v>45820</v>
      </c>
      <c r="F863" s="13">
        <v>2031</v>
      </c>
      <c r="G863" s="15" t="s">
        <v>180</v>
      </c>
      <c r="H863" s="77">
        <v>1.5</v>
      </c>
      <c r="I863" t="s">
        <v>304</v>
      </c>
    </row>
    <row r="864" spans="1:10" x14ac:dyDescent="0.25">
      <c r="A864">
        <v>498</v>
      </c>
      <c r="B864" t="s">
        <v>305</v>
      </c>
      <c r="C864">
        <v>2025</v>
      </c>
      <c r="D864" s="18">
        <v>45919</v>
      </c>
      <c r="E864" s="18">
        <v>45926</v>
      </c>
      <c r="F864" s="13">
        <v>1016</v>
      </c>
      <c r="G864" t="s">
        <v>207</v>
      </c>
      <c r="H864">
        <v>14</v>
      </c>
      <c r="I864" t="s">
        <v>314</v>
      </c>
    </row>
    <row r="866" spans="1:8" x14ac:dyDescent="0.25">
      <c r="A866">
        <v>370</v>
      </c>
      <c r="B866" t="s">
        <v>186</v>
      </c>
      <c r="C866">
        <v>2017</v>
      </c>
      <c r="F866" s="13">
        <v>1010</v>
      </c>
      <c r="G866" t="str">
        <f>VLOOKUP(F866,'Liste Formations'!$A$5:$B$182,2,FALSE)</f>
        <v>Incendie</v>
      </c>
      <c r="H866" s="73">
        <v>2</v>
      </c>
    </row>
    <row r="867" spans="1:8" x14ac:dyDescent="0.25">
      <c r="A867">
        <v>370</v>
      </c>
      <c r="B867" t="s">
        <v>186</v>
      </c>
      <c r="C867">
        <v>2018</v>
      </c>
      <c r="F867" s="13">
        <v>1020</v>
      </c>
      <c r="G867" t="str">
        <f>VLOOKUP(F867,'Liste Formations'!$A$5:$B$182,2,FALSE)</f>
        <v>Prévention TMS - Gestes Postures et Nutrition</v>
      </c>
      <c r="H867">
        <v>3.5</v>
      </c>
    </row>
    <row r="868" spans="1:8" x14ac:dyDescent="0.25">
      <c r="A868">
        <v>370</v>
      </c>
      <c r="B868" t="s">
        <v>186</v>
      </c>
      <c r="C868">
        <v>2019</v>
      </c>
      <c r="F868" s="13">
        <v>2007</v>
      </c>
      <c r="G868" t="str">
        <f>VLOOKUP(F868,'Liste Formations'!$A$5:$B$182,2,FALSE)</f>
        <v>ERP DIVALTO</v>
      </c>
      <c r="H868" s="73">
        <v>3.5</v>
      </c>
    </row>
    <row r="869" spans="1:8" x14ac:dyDescent="0.25">
      <c r="A869">
        <v>370</v>
      </c>
      <c r="B869" t="s">
        <v>186</v>
      </c>
      <c r="C869">
        <v>2019</v>
      </c>
      <c r="F869" s="13">
        <v>2039</v>
      </c>
      <c r="G869" t="str">
        <f>VLOOKUP(F869,'Liste Formations'!$A$5:$B$182,2,FALSE)</f>
        <v>HOROQUARTZ</v>
      </c>
      <c r="H869">
        <v>14</v>
      </c>
    </row>
    <row r="870" spans="1:8" x14ac:dyDescent="0.25">
      <c r="A870">
        <v>370</v>
      </c>
      <c r="B870" t="s">
        <v>186</v>
      </c>
      <c r="C870">
        <v>2021</v>
      </c>
      <c r="F870" s="13">
        <v>1029</v>
      </c>
      <c r="G870" t="str">
        <f>VLOOKUP(F870,'Liste Formations'!$A$5:$B$182,2,FALSE)</f>
        <v>ADR Transport de matières dangereuses</v>
      </c>
      <c r="H870" s="73">
        <v>7</v>
      </c>
    </row>
    <row r="871" spans="1:8" x14ac:dyDescent="0.25">
      <c r="A871">
        <v>370</v>
      </c>
      <c r="B871" t="s">
        <v>186</v>
      </c>
      <c r="C871">
        <v>2024</v>
      </c>
      <c r="F871" s="13">
        <v>2041</v>
      </c>
      <c r="G871" s="15" t="s">
        <v>181</v>
      </c>
      <c r="H871">
        <v>14</v>
      </c>
    </row>
    <row r="874" spans="1:8" x14ac:dyDescent="0.25">
      <c r="A874">
        <v>374</v>
      </c>
      <c r="B874" t="s">
        <v>99</v>
      </c>
      <c r="C874">
        <v>2019</v>
      </c>
      <c r="F874" s="13">
        <v>2007</v>
      </c>
      <c r="G874" t="str">
        <f>VLOOKUP(F874,'Liste Formations'!$A$5:$B$182,2,FALSE)</f>
        <v>ERP DIVALTO</v>
      </c>
      <c r="H874">
        <v>3.5</v>
      </c>
    </row>
    <row r="875" spans="1:8" x14ac:dyDescent="0.25">
      <c r="A875">
        <v>374</v>
      </c>
      <c r="B875" t="s">
        <v>99</v>
      </c>
      <c r="C875">
        <v>2019</v>
      </c>
      <c r="F875" s="13">
        <v>2039</v>
      </c>
      <c r="G875" t="str">
        <f>VLOOKUP(F875,'Liste Formations'!$A$5:$B$182,2,FALSE)</f>
        <v>HOROQUARTZ</v>
      </c>
      <c r="H875">
        <v>14</v>
      </c>
    </row>
    <row r="876" spans="1:8" x14ac:dyDescent="0.25">
      <c r="A876">
        <v>374</v>
      </c>
      <c r="B876" t="s">
        <v>99</v>
      </c>
      <c r="C876">
        <v>2022</v>
      </c>
      <c r="F876" s="13">
        <v>2043</v>
      </c>
      <c r="G876" t="str">
        <f>VLOOKUP(F876,'Liste Formations'!$A$5:$B$182,2,FALSE)</f>
        <v>DEB</v>
      </c>
      <c r="H876">
        <v>7</v>
      </c>
    </row>
    <row r="877" spans="1:8" x14ac:dyDescent="0.25">
      <c r="A877">
        <v>374</v>
      </c>
      <c r="B877" t="s">
        <v>99</v>
      </c>
      <c r="C877">
        <v>2023</v>
      </c>
      <c r="F877" s="13">
        <v>1009</v>
      </c>
      <c r="G877" t="str">
        <f>VLOOKUP(F877,'Liste Formations'!$A$5:$B$182,2,FALSE)</f>
        <v>Défibrillateur</v>
      </c>
      <c r="H877">
        <v>2</v>
      </c>
    </row>
    <row r="878" spans="1:8" x14ac:dyDescent="0.25">
      <c r="A878">
        <v>374</v>
      </c>
      <c r="B878" t="s">
        <v>99</v>
      </c>
      <c r="C878">
        <v>2023</v>
      </c>
      <c r="F878" s="13">
        <v>1010</v>
      </c>
      <c r="G878" t="str">
        <f>VLOOKUP(F878,'Liste Formations'!$A$5:$B$182,2,FALSE)</f>
        <v>Incendie</v>
      </c>
      <c r="H878">
        <v>2</v>
      </c>
    </row>
    <row r="879" spans="1:8" x14ac:dyDescent="0.25">
      <c r="A879">
        <v>374</v>
      </c>
      <c r="B879" t="s">
        <v>99</v>
      </c>
      <c r="C879">
        <v>2024</v>
      </c>
      <c r="F879" s="13">
        <v>1032</v>
      </c>
      <c r="G879" t="str">
        <f>VLOOKUP(F879,'Liste Formations'!$A$5:$B$182,2,FALSE)</f>
        <v>Sensibilisation RPS Risques Psychosociaux</v>
      </c>
      <c r="H879">
        <v>2</v>
      </c>
    </row>
    <row r="880" spans="1:8" x14ac:dyDescent="0.25">
      <c r="A880">
        <v>374</v>
      </c>
      <c r="B880" t="s">
        <v>99</v>
      </c>
      <c r="C880">
        <v>2024</v>
      </c>
      <c r="F880" s="13">
        <v>1033</v>
      </c>
      <c r="G880" t="s">
        <v>248</v>
      </c>
      <c r="H880">
        <v>1.5</v>
      </c>
    </row>
    <row r="881" spans="1:8" x14ac:dyDescent="0.25">
      <c r="A881">
        <v>374</v>
      </c>
      <c r="B881" t="s">
        <v>99</v>
      </c>
      <c r="C881">
        <v>2024</v>
      </c>
      <c r="F881" s="13">
        <v>2044</v>
      </c>
      <c r="G881" t="str">
        <f>VLOOKUP(F881,'Liste Formations'!$A$5:$B$182,2,FALSE)</f>
        <v>WORD PRESS</v>
      </c>
      <c r="H881">
        <v>14</v>
      </c>
    </row>
    <row r="882" spans="1:8" x14ac:dyDescent="0.25">
      <c r="A882">
        <v>374</v>
      </c>
      <c r="B882" t="s">
        <v>99</v>
      </c>
      <c r="C882">
        <v>2024</v>
      </c>
      <c r="F882" s="13">
        <v>2041</v>
      </c>
      <c r="G882" s="15" t="s">
        <v>181</v>
      </c>
      <c r="H882">
        <v>14</v>
      </c>
    </row>
    <row r="885" spans="1:8" x14ac:dyDescent="0.25">
      <c r="A885">
        <v>245</v>
      </c>
      <c r="B885" t="s">
        <v>103</v>
      </c>
      <c r="C885">
        <v>2010</v>
      </c>
      <c r="F885" s="13">
        <v>2048</v>
      </c>
      <c r="G885" t="str">
        <f>VLOOKUP(F885,'Liste Formations'!$A$5:$B$182,2,FALSE)</f>
        <v>IFOCA - Le Mélangeage de la Préparation au Contrôle : Les bonnes Pratiques à standardiser</v>
      </c>
      <c r="H885">
        <v>42</v>
      </c>
    </row>
    <row r="886" spans="1:8" x14ac:dyDescent="0.25">
      <c r="A886">
        <v>245</v>
      </c>
      <c r="B886" t="s">
        <v>103</v>
      </c>
      <c r="C886">
        <v>2010</v>
      </c>
      <c r="F886" s="13">
        <v>2002</v>
      </c>
      <c r="G886" t="str">
        <f>VLOOKUP(F886,'Liste Formations'!$A$5:$B$182,2,FALSE)</f>
        <v>IFOCA Initiation Personnel de Laboratoire</v>
      </c>
      <c r="H886">
        <v>28</v>
      </c>
    </row>
    <row r="887" spans="1:8" x14ac:dyDescent="0.25">
      <c r="A887">
        <v>245</v>
      </c>
      <c r="B887" t="s">
        <v>103</v>
      </c>
      <c r="C887">
        <v>2011</v>
      </c>
      <c r="F887" s="13">
        <v>2046</v>
      </c>
      <c r="G887" t="str">
        <f>VLOOKUP(F887,'Liste Formations'!$A$5:$B$182,2,FALSE)</f>
        <v>IFOCA - Formulation des caoutchoucs : INITIATION</v>
      </c>
      <c r="H887">
        <v>28</v>
      </c>
    </row>
    <row r="888" spans="1:8" x14ac:dyDescent="0.25">
      <c r="A888">
        <v>245</v>
      </c>
      <c r="B888" t="s">
        <v>103</v>
      </c>
      <c r="C888">
        <v>2011</v>
      </c>
      <c r="F888" s="13">
        <v>2047</v>
      </c>
      <c r="G888" t="str">
        <f>VLOOKUP(F888,'Liste Formations'!$A$5:$B$182,2,FALSE)</f>
        <v>IFOCA - Le mélangeage : de la Matière Première à la Pièce Finie</v>
      </c>
      <c r="H888">
        <v>42</v>
      </c>
    </row>
    <row r="889" spans="1:8" x14ac:dyDescent="0.25">
      <c r="A889">
        <v>245</v>
      </c>
      <c r="B889" t="s">
        <v>103</v>
      </c>
      <c r="C889">
        <v>2012</v>
      </c>
      <c r="F889" s="13">
        <v>2013</v>
      </c>
      <c r="G889" t="str">
        <f>VLOOKUP(F889,'Liste Formations'!$A$5:$B$182,2,FALSE)</f>
        <v>Auditeur interne ISO 9001/IATF</v>
      </c>
      <c r="H889">
        <v>7</v>
      </c>
    </row>
    <row r="890" spans="1:8" x14ac:dyDescent="0.25">
      <c r="A890">
        <v>245</v>
      </c>
      <c r="B890" t="s">
        <v>103</v>
      </c>
      <c r="C890">
        <v>2013</v>
      </c>
      <c r="F890" s="13">
        <v>2001</v>
      </c>
      <c r="G890" t="str">
        <f>VLOOKUP(F890,'Liste Formations'!$A$5:$B$182,2,FALSE)</f>
        <v>IFOCA le mélangeage</v>
      </c>
      <c r="H890">
        <v>35</v>
      </c>
    </row>
    <row r="891" spans="1:8" x14ac:dyDescent="0.25">
      <c r="A891">
        <v>245</v>
      </c>
      <c r="B891" t="s">
        <v>103</v>
      </c>
      <c r="C891">
        <v>2014</v>
      </c>
      <c r="F891" s="13">
        <v>1016</v>
      </c>
      <c r="G891" t="str">
        <f>VLOOKUP(F891,'Liste Formations'!$A$5:$B$182,2,FALSE)</f>
        <v>S.S.T. Sauveteurs Secourites du Travail</v>
      </c>
      <c r="H891">
        <v>14</v>
      </c>
    </row>
    <row r="892" spans="1:8" x14ac:dyDescent="0.25">
      <c r="A892">
        <v>245</v>
      </c>
      <c r="B892" t="s">
        <v>103</v>
      </c>
      <c r="C892">
        <v>2015</v>
      </c>
      <c r="F892" s="13">
        <v>1004</v>
      </c>
      <c r="G892" t="str">
        <f>VLOOKUP(F892,'Liste Formations'!$A$5:$B$182,2,FALSE)</f>
        <v>Conduite Chariots Cat.3</v>
      </c>
      <c r="H892">
        <v>7</v>
      </c>
    </row>
    <row r="893" spans="1:8" x14ac:dyDescent="0.25">
      <c r="A893">
        <v>245</v>
      </c>
      <c r="B893" t="s">
        <v>103</v>
      </c>
      <c r="C893">
        <v>2015</v>
      </c>
      <c r="F893" s="13">
        <v>2024</v>
      </c>
      <c r="G893" t="str">
        <f>VLOOKUP(F893,'Liste Formations'!$A$5:$B$182,2,FALSE)</f>
        <v>Logiciel NEXIGEN+</v>
      </c>
      <c r="H893">
        <v>7</v>
      </c>
    </row>
    <row r="894" spans="1:8" x14ac:dyDescent="0.25">
      <c r="A894">
        <v>245</v>
      </c>
      <c r="B894" t="s">
        <v>103</v>
      </c>
      <c r="C894">
        <v>2016</v>
      </c>
      <c r="F894" s="13">
        <v>1017</v>
      </c>
      <c r="G894" t="str">
        <f>VLOOKUP(F894,'Liste Formations'!$A$5:$B$182,2,FALSE)</f>
        <v>R. S.S.T. Recyclage Sauveteurs Secourites du Travail</v>
      </c>
      <c r="H894">
        <v>7</v>
      </c>
    </row>
    <row r="895" spans="1:8" x14ac:dyDescent="0.25">
      <c r="A895">
        <v>245</v>
      </c>
      <c r="B895" t="s">
        <v>103</v>
      </c>
      <c r="C895">
        <v>2016</v>
      </c>
      <c r="F895" s="13">
        <v>2027</v>
      </c>
      <c r="G895" t="str">
        <f>VLOOKUP(F895,'Liste Formations'!$A$5:$B$182,2,FALSE)</f>
        <v>INSTRON</v>
      </c>
      <c r="H895">
        <v>14</v>
      </c>
    </row>
    <row r="896" spans="1:8" x14ac:dyDescent="0.25">
      <c r="A896">
        <v>245</v>
      </c>
      <c r="B896" t="s">
        <v>103</v>
      </c>
      <c r="C896">
        <v>2018</v>
      </c>
      <c r="F896" s="13">
        <v>1017</v>
      </c>
      <c r="G896" t="str">
        <f>VLOOKUP(F896,'Liste Formations'!$A$5:$B$182,2,FALSE)</f>
        <v>R. S.S.T. Recyclage Sauveteurs Secourites du Travail</v>
      </c>
      <c r="H896">
        <v>7</v>
      </c>
    </row>
    <row r="897" spans="1:8" x14ac:dyDescent="0.25">
      <c r="A897">
        <v>245</v>
      </c>
      <c r="B897" t="s">
        <v>103</v>
      </c>
      <c r="C897">
        <v>2018</v>
      </c>
      <c r="F897" s="13">
        <v>1020</v>
      </c>
      <c r="G897" t="str">
        <f>VLOOKUP(F897,'Liste Formations'!$A$5:$B$182,2,FALSE)</f>
        <v>Prévention TMS - Gestes Postures et Nutrition</v>
      </c>
      <c r="H897">
        <v>3.5</v>
      </c>
    </row>
    <row r="898" spans="1:8" x14ac:dyDescent="0.25">
      <c r="A898">
        <v>245</v>
      </c>
      <c r="B898" t="s">
        <v>103</v>
      </c>
      <c r="C898">
        <v>2018</v>
      </c>
      <c r="F898" s="13">
        <v>1021</v>
      </c>
      <c r="G898" t="str">
        <f>VLOOKUP(F898,'Liste Formations'!$A$5:$B$182,2,FALSE)</f>
        <v>Gestion du stress</v>
      </c>
      <c r="H898">
        <v>8</v>
      </c>
    </row>
    <row r="899" spans="1:8" x14ac:dyDescent="0.25">
      <c r="A899">
        <v>245</v>
      </c>
      <c r="B899" t="s">
        <v>103</v>
      </c>
      <c r="C899">
        <v>2019</v>
      </c>
      <c r="F899" s="13">
        <v>1010</v>
      </c>
      <c r="G899" t="s">
        <v>222</v>
      </c>
      <c r="H899">
        <v>3</v>
      </c>
    </row>
    <row r="900" spans="1:8" x14ac:dyDescent="0.25">
      <c r="A900">
        <v>245</v>
      </c>
      <c r="B900" t="s">
        <v>103</v>
      </c>
      <c r="C900">
        <v>2019</v>
      </c>
      <c r="F900" s="13">
        <v>1014</v>
      </c>
      <c r="G900" t="str">
        <f>VLOOKUP(F900,'Liste Formations'!$A$5:$B$182,2,FALSE)</f>
        <v>Membres CSE</v>
      </c>
      <c r="H900">
        <v>14</v>
      </c>
    </row>
    <row r="901" spans="1:8" x14ac:dyDescent="0.25">
      <c r="A901">
        <v>245</v>
      </c>
      <c r="B901" t="s">
        <v>103</v>
      </c>
      <c r="C901">
        <v>2019</v>
      </c>
      <c r="F901" s="13">
        <v>2021</v>
      </c>
      <c r="G901" t="str">
        <f>VLOOKUP(F901,'Liste Formations'!$A$5:$B$182,2,FALSE)</f>
        <v>ENTERPRISE / ALPHA TECHNOLOGIE</v>
      </c>
      <c r="H901">
        <v>2</v>
      </c>
    </row>
    <row r="902" spans="1:8" x14ac:dyDescent="0.25">
      <c r="A902">
        <v>245</v>
      </c>
      <c r="B902" t="s">
        <v>103</v>
      </c>
      <c r="C902">
        <v>2020</v>
      </c>
      <c r="F902" s="13">
        <v>1004</v>
      </c>
      <c r="G902" t="str">
        <f>VLOOKUP(F902,'Liste Formations'!$A$5:$B$182,2,FALSE)</f>
        <v>Conduite Chariots Cat.3</v>
      </c>
      <c r="H902">
        <v>7</v>
      </c>
    </row>
    <row r="903" spans="1:8" x14ac:dyDescent="0.25">
      <c r="A903">
        <v>245</v>
      </c>
      <c r="B903" t="s">
        <v>103</v>
      </c>
      <c r="C903">
        <v>2020</v>
      </c>
      <c r="F903" s="13">
        <v>1017</v>
      </c>
      <c r="G903" t="str">
        <f>VLOOKUP(F903,'Liste Formations'!$A$5:$B$182,2,FALSE)</f>
        <v>R. S.S.T. Recyclage Sauveteurs Secourites du Travail</v>
      </c>
      <c r="H903">
        <v>7</v>
      </c>
    </row>
    <row r="904" spans="1:8" x14ac:dyDescent="0.25">
      <c r="A904">
        <v>245</v>
      </c>
      <c r="B904" t="s">
        <v>103</v>
      </c>
      <c r="C904">
        <v>2022</v>
      </c>
      <c r="F904" s="13">
        <v>1017</v>
      </c>
      <c r="G904" t="str">
        <f>VLOOKUP(F904,'Liste Formations'!$A$5:$B$182,2,FALSE)</f>
        <v>R. S.S.T. Recyclage Sauveteurs Secourites du Travail</v>
      </c>
      <c r="H904">
        <v>7</v>
      </c>
    </row>
    <row r="905" spans="1:8" x14ac:dyDescent="0.25">
      <c r="A905">
        <v>245</v>
      </c>
      <c r="B905" t="s">
        <v>103</v>
      </c>
      <c r="C905">
        <v>2023</v>
      </c>
      <c r="F905" s="13">
        <v>2027</v>
      </c>
      <c r="G905" t="str">
        <f>VLOOKUP(F905,'Liste Formations'!$A$5:$B$182,2,FALSE)</f>
        <v>INSTRON</v>
      </c>
      <c r="H905">
        <v>3.5</v>
      </c>
    </row>
    <row r="906" spans="1:8" x14ac:dyDescent="0.25">
      <c r="A906">
        <v>245</v>
      </c>
      <c r="B906" t="s">
        <v>103</v>
      </c>
      <c r="C906">
        <v>2024</v>
      </c>
      <c r="F906" s="13">
        <v>1033</v>
      </c>
      <c r="G906" t="str">
        <f>VLOOKUP(F906,'Liste Formations'!$A$5:$B$182,2,FALSE)</f>
        <v>Sensibilisation aux addictions</v>
      </c>
      <c r="H906">
        <v>1.5</v>
      </c>
    </row>
    <row r="907" spans="1:8" x14ac:dyDescent="0.25">
      <c r="A907">
        <v>245</v>
      </c>
      <c r="B907" t="s">
        <v>103</v>
      </c>
      <c r="C907">
        <v>2024</v>
      </c>
      <c r="F907" s="13">
        <v>1017</v>
      </c>
      <c r="G907" t="s">
        <v>303</v>
      </c>
      <c r="H907">
        <v>7</v>
      </c>
    </row>
    <row r="910" spans="1:8" x14ac:dyDescent="0.25">
      <c r="A910">
        <v>444</v>
      </c>
      <c r="B910" t="s">
        <v>104</v>
      </c>
      <c r="C910">
        <v>2022</v>
      </c>
      <c r="F910" s="13">
        <v>3010</v>
      </c>
      <c r="G910" t="str">
        <f>VLOOKUP(F910,'Liste Formations'!$A$5:$B$182,2,FALSE)</f>
        <v>Poste 830</v>
      </c>
      <c r="H910">
        <v>151.66999999999999</v>
      </c>
    </row>
    <row r="911" spans="1:8" x14ac:dyDescent="0.25">
      <c r="A911">
        <v>444</v>
      </c>
      <c r="B911" t="s">
        <v>104</v>
      </c>
      <c r="C911">
        <v>2023</v>
      </c>
      <c r="F911" s="13">
        <v>1004</v>
      </c>
      <c r="G911" t="str">
        <f>VLOOKUP(F911,'Liste Formations'!$A$5:$B$182,2,FALSE)</f>
        <v>Conduite Chariots Cat.3</v>
      </c>
      <c r="H911">
        <v>7</v>
      </c>
    </row>
    <row r="912" spans="1:8" x14ac:dyDescent="0.25">
      <c r="A912">
        <v>444</v>
      </c>
      <c r="B912" t="s">
        <v>104</v>
      </c>
      <c r="C912">
        <v>2023</v>
      </c>
      <c r="F912" s="13">
        <v>1030</v>
      </c>
      <c r="G912" t="str">
        <f>VLOOKUP(F912,'Liste Formations'!$A$5:$B$182,2,FALSE)</f>
        <v>Utilisation PTI</v>
      </c>
      <c r="H912">
        <v>0.5</v>
      </c>
    </row>
    <row r="913" spans="1:10" x14ac:dyDescent="0.25">
      <c r="A913">
        <v>444</v>
      </c>
      <c r="B913" t="s">
        <v>104</v>
      </c>
      <c r="C913">
        <v>2024</v>
      </c>
      <c r="F913" s="13">
        <v>1032</v>
      </c>
      <c r="G913" t="str">
        <f>VLOOKUP(F913,'Liste Formations'!$A$5:$B$182,2,FALSE)</f>
        <v>Sensibilisation RPS Risques Psychosociaux</v>
      </c>
      <c r="H913">
        <v>2</v>
      </c>
    </row>
    <row r="914" spans="1:10" x14ac:dyDescent="0.25">
      <c r="A914">
        <v>444</v>
      </c>
      <c r="B914" t="s">
        <v>104</v>
      </c>
      <c r="C914">
        <v>2024</v>
      </c>
      <c r="F914" s="13">
        <v>1033</v>
      </c>
      <c r="G914" t="str">
        <f>VLOOKUP(F914,'Liste Formations'!$A$5:$B$182,2,FALSE)</f>
        <v>Sensibilisation aux addictions</v>
      </c>
      <c r="H914">
        <v>1.5</v>
      </c>
    </row>
    <row r="915" spans="1:10" x14ac:dyDescent="0.25">
      <c r="A915">
        <v>444</v>
      </c>
      <c r="B915" t="s">
        <v>104</v>
      </c>
      <c r="C915">
        <v>2024</v>
      </c>
      <c r="F915" s="13">
        <v>2031</v>
      </c>
      <c r="G915" s="15" t="s">
        <v>180</v>
      </c>
      <c r="H915">
        <v>2</v>
      </c>
    </row>
    <row r="916" spans="1:10" x14ac:dyDescent="0.25">
      <c r="A916">
        <v>444</v>
      </c>
      <c r="B916" t="s">
        <v>104</v>
      </c>
      <c r="C916">
        <v>2024</v>
      </c>
      <c r="F916" s="13">
        <v>3037</v>
      </c>
      <c r="G916" s="15" t="s">
        <v>29</v>
      </c>
      <c r="H916" s="73">
        <v>35</v>
      </c>
      <c r="J916" s="73"/>
    </row>
    <row r="917" spans="1:10" x14ac:dyDescent="0.25">
      <c r="A917">
        <v>444</v>
      </c>
      <c r="B917" t="s">
        <v>104</v>
      </c>
      <c r="C917">
        <v>2024</v>
      </c>
      <c r="F917" s="13">
        <v>1006</v>
      </c>
      <c r="G917" t="s">
        <v>150</v>
      </c>
      <c r="H917">
        <v>14</v>
      </c>
    </row>
    <row r="918" spans="1:10" x14ac:dyDescent="0.25">
      <c r="A918">
        <v>444</v>
      </c>
      <c r="B918" t="s">
        <v>104</v>
      </c>
      <c r="C918">
        <v>2024</v>
      </c>
      <c r="F918" s="13">
        <v>3011</v>
      </c>
      <c r="G918" s="15" t="s">
        <v>238</v>
      </c>
      <c r="H918">
        <v>8</v>
      </c>
    </row>
    <row r="919" spans="1:10" x14ac:dyDescent="0.25">
      <c r="A919">
        <v>444</v>
      </c>
      <c r="B919" t="s">
        <v>104</v>
      </c>
      <c r="C919">
        <v>2025</v>
      </c>
      <c r="D919" s="18">
        <v>45681</v>
      </c>
      <c r="E919" s="18">
        <v>45709</v>
      </c>
      <c r="F919" s="13">
        <v>2051</v>
      </c>
      <c r="G919" t="s">
        <v>279</v>
      </c>
      <c r="H919" s="75">
        <v>28</v>
      </c>
      <c r="I919" t="s">
        <v>280</v>
      </c>
    </row>
    <row r="920" spans="1:10" x14ac:dyDescent="0.25">
      <c r="A920">
        <v>444</v>
      </c>
      <c r="B920" t="s">
        <v>104</v>
      </c>
      <c r="C920">
        <v>2025</v>
      </c>
      <c r="D920" s="18">
        <v>45982</v>
      </c>
      <c r="E920" s="18">
        <v>45982</v>
      </c>
      <c r="F920" s="13">
        <v>1003</v>
      </c>
      <c r="G920" t="s">
        <v>205</v>
      </c>
      <c r="H920">
        <v>7</v>
      </c>
      <c r="I920" t="s">
        <v>280</v>
      </c>
    </row>
    <row r="921" spans="1:10" x14ac:dyDescent="0.25">
      <c r="D921" s="18"/>
      <c r="E921" s="18"/>
    </row>
    <row r="922" spans="1:10" x14ac:dyDescent="0.25">
      <c r="A922">
        <v>10000049</v>
      </c>
      <c r="B922" t="s">
        <v>327</v>
      </c>
      <c r="C922">
        <v>2026</v>
      </c>
      <c r="D922" s="18"/>
      <c r="E922" s="18"/>
      <c r="F922" s="13">
        <v>3041</v>
      </c>
      <c r="G922" s="15" t="s">
        <v>36</v>
      </c>
      <c r="H922" s="73">
        <v>70</v>
      </c>
      <c r="I922" t="s">
        <v>308</v>
      </c>
    </row>
    <row r="923" spans="1:10" x14ac:dyDescent="0.25">
      <c r="D923" s="18"/>
      <c r="E923" s="18"/>
    </row>
    <row r="924" spans="1:10" x14ac:dyDescent="0.25">
      <c r="D924" s="18"/>
      <c r="E924" s="18"/>
    </row>
    <row r="926" spans="1:10" x14ac:dyDescent="0.25">
      <c r="A926">
        <v>60</v>
      </c>
      <c r="B926" t="s">
        <v>105</v>
      </c>
      <c r="C926">
        <v>2010</v>
      </c>
      <c r="F926" s="13">
        <v>1004</v>
      </c>
      <c r="G926" t="str">
        <f>VLOOKUP(F926,'Liste Formations'!$A$5:$B$182,2,FALSE)</f>
        <v>Conduite Chariots Cat.3</v>
      </c>
      <c r="H926">
        <v>7</v>
      </c>
    </row>
    <row r="927" spans="1:10" x14ac:dyDescent="0.25">
      <c r="A927">
        <v>60</v>
      </c>
      <c r="B927" t="s">
        <v>105</v>
      </c>
      <c r="C927">
        <v>2010</v>
      </c>
      <c r="F927" s="13">
        <v>1014</v>
      </c>
      <c r="G927" t="str">
        <f>VLOOKUP(F927,'Liste Formations'!$A$5:$B$182,2,FALSE)</f>
        <v>Membres CSE</v>
      </c>
      <c r="H927">
        <v>14</v>
      </c>
    </row>
    <row r="928" spans="1:10" x14ac:dyDescent="0.25">
      <c r="A928">
        <v>60</v>
      </c>
      <c r="B928" t="s">
        <v>105</v>
      </c>
      <c r="C928">
        <v>2010</v>
      </c>
      <c r="F928" s="13">
        <v>3025</v>
      </c>
      <c r="G928" t="str">
        <f>VLOOKUP(F928,'Liste Formations'!$A$5:$B$182,2,FALSE)</f>
        <v>Poste 930</v>
      </c>
      <c r="H928">
        <v>151.66999999999999</v>
      </c>
    </row>
    <row r="929" spans="1:8" x14ac:dyDescent="0.25">
      <c r="A929">
        <v>60</v>
      </c>
      <c r="B929" t="s">
        <v>105</v>
      </c>
      <c r="C929">
        <v>2011</v>
      </c>
      <c r="F929" s="13">
        <v>2001</v>
      </c>
      <c r="G929" t="str">
        <f>VLOOKUP(F929,'Liste Formations'!$A$5:$B$182,2,FALSE)</f>
        <v>IFOCA le mélangeage</v>
      </c>
      <c r="H929">
        <v>42</v>
      </c>
    </row>
    <row r="930" spans="1:8" x14ac:dyDescent="0.25">
      <c r="A930">
        <v>60</v>
      </c>
      <c r="B930" t="s">
        <v>105</v>
      </c>
      <c r="C930">
        <v>2011</v>
      </c>
      <c r="F930" s="13">
        <v>3007</v>
      </c>
      <c r="G930" t="str">
        <f>VLOOKUP(F930,'Liste Formations'!$A$5:$B$182,2,FALSE)</f>
        <v>Poste 516</v>
      </c>
      <c r="H930">
        <v>151.66999999999999</v>
      </c>
    </row>
    <row r="931" spans="1:8" x14ac:dyDescent="0.25">
      <c r="A931">
        <v>60</v>
      </c>
      <c r="B931" t="s">
        <v>105</v>
      </c>
      <c r="C931">
        <v>2011</v>
      </c>
      <c r="F931" s="13">
        <v>3014</v>
      </c>
      <c r="G931" t="str">
        <f>VLOOKUP(F931,'Liste Formations'!$A$5:$B$182,2,FALSE)</f>
        <v>Poste 902</v>
      </c>
      <c r="H931">
        <v>151.66999999999999</v>
      </c>
    </row>
    <row r="932" spans="1:8" x14ac:dyDescent="0.25">
      <c r="A932">
        <v>60</v>
      </c>
      <c r="B932" t="s">
        <v>105</v>
      </c>
      <c r="C932">
        <v>2011</v>
      </c>
      <c r="F932" s="13">
        <v>3021</v>
      </c>
      <c r="G932" t="str">
        <f>VLOOKUP(F932,'Liste Formations'!$A$5:$B$182,2,FALSE)</f>
        <v>Poste 912</v>
      </c>
      <c r="H932">
        <v>151.66999999999999</v>
      </c>
    </row>
    <row r="933" spans="1:8" x14ac:dyDescent="0.25">
      <c r="A933">
        <v>60</v>
      </c>
      <c r="B933" t="s">
        <v>105</v>
      </c>
      <c r="C933">
        <v>2012</v>
      </c>
      <c r="F933" s="13">
        <v>3025</v>
      </c>
      <c r="G933" t="str">
        <f>VLOOKUP(F933,'Liste Formations'!$A$5:$B$182,2,FALSE)</f>
        <v>Poste 930</v>
      </c>
      <c r="H933">
        <v>151.66999999999999</v>
      </c>
    </row>
    <row r="934" spans="1:8" x14ac:dyDescent="0.25">
      <c r="A934">
        <v>60</v>
      </c>
      <c r="B934" t="s">
        <v>105</v>
      </c>
      <c r="C934">
        <v>2012</v>
      </c>
      <c r="F934" s="13">
        <v>1006</v>
      </c>
      <c r="G934" t="str">
        <f>VLOOKUP(F934,'Liste Formations'!$A$5:$B$182,2,FALSE)</f>
        <v>Habilitation électrique BE Manœuvre BS</v>
      </c>
      <c r="H934">
        <v>7</v>
      </c>
    </row>
    <row r="935" spans="1:8" x14ac:dyDescent="0.25">
      <c r="A935">
        <v>60</v>
      </c>
      <c r="B935" t="s">
        <v>105</v>
      </c>
      <c r="C935">
        <v>2013</v>
      </c>
      <c r="F935" s="13">
        <v>1025</v>
      </c>
      <c r="G935" t="str">
        <f>VLOOKUP(F935,'Liste Formations'!$A$5:$B$182,2,FALSE)</f>
        <v>Manipulation Nanocharges</v>
      </c>
      <c r="H935">
        <v>0.5</v>
      </c>
    </row>
    <row r="936" spans="1:8" x14ac:dyDescent="0.25">
      <c r="A936">
        <v>60</v>
      </c>
      <c r="B936" t="s">
        <v>105</v>
      </c>
      <c r="C936">
        <v>2013</v>
      </c>
      <c r="F936" s="13">
        <v>3014</v>
      </c>
      <c r="G936" t="str">
        <f>VLOOKUP(F936,'Liste Formations'!$A$5:$B$182,2,FALSE)</f>
        <v>Poste 902</v>
      </c>
      <c r="H936">
        <v>151.66999999999999</v>
      </c>
    </row>
    <row r="937" spans="1:8" x14ac:dyDescent="0.25">
      <c r="A937">
        <v>60</v>
      </c>
      <c r="B937" t="s">
        <v>105</v>
      </c>
      <c r="C937">
        <v>2013</v>
      </c>
      <c r="F937" s="13">
        <v>3021</v>
      </c>
      <c r="G937" t="str">
        <f>VLOOKUP(F937,'Liste Formations'!$A$5:$B$182,2,FALSE)</f>
        <v>Poste 912</v>
      </c>
      <c r="H937">
        <v>151.66999999999999</v>
      </c>
    </row>
    <row r="938" spans="1:8" x14ac:dyDescent="0.25">
      <c r="A938">
        <v>60</v>
      </c>
      <c r="B938" t="s">
        <v>105</v>
      </c>
      <c r="C938">
        <v>2014</v>
      </c>
      <c r="F938" s="13">
        <v>3025</v>
      </c>
      <c r="G938" t="str">
        <f>VLOOKUP(F938,'Liste Formations'!$A$5:$B$182,2,FALSE)</f>
        <v>Poste 930</v>
      </c>
      <c r="H938">
        <v>151.66999999999999</v>
      </c>
    </row>
    <row r="939" spans="1:8" x14ac:dyDescent="0.25">
      <c r="A939">
        <v>60</v>
      </c>
      <c r="B939" t="s">
        <v>105</v>
      </c>
      <c r="C939">
        <v>2015</v>
      </c>
      <c r="F939" s="13">
        <v>3014</v>
      </c>
      <c r="G939" t="str">
        <f>VLOOKUP(F939,'Liste Formations'!$A$5:$B$182,2,FALSE)</f>
        <v>Poste 902</v>
      </c>
      <c r="H939">
        <v>151.66999999999999</v>
      </c>
    </row>
    <row r="940" spans="1:8" x14ac:dyDescent="0.25">
      <c r="A940">
        <v>60</v>
      </c>
      <c r="B940" t="s">
        <v>105</v>
      </c>
      <c r="C940">
        <v>2015</v>
      </c>
      <c r="F940" s="13">
        <v>3021</v>
      </c>
      <c r="G940" t="str">
        <f>VLOOKUP(F940,'Liste Formations'!$A$5:$B$182,2,FALSE)</f>
        <v>Poste 912</v>
      </c>
      <c r="H940">
        <v>151.66999999999999</v>
      </c>
    </row>
    <row r="941" spans="1:8" x14ac:dyDescent="0.25">
      <c r="A941">
        <v>60</v>
      </c>
      <c r="B941" t="s">
        <v>105</v>
      </c>
      <c r="C941">
        <v>2015</v>
      </c>
      <c r="F941" s="13">
        <v>3033</v>
      </c>
      <c r="G941" t="str">
        <f>VLOOKUP(F941,'Liste Formations'!$A$5:$B$182,2,FALSE)</f>
        <v>Poste 1101</v>
      </c>
      <c r="H941">
        <v>151.66999999999999</v>
      </c>
    </row>
    <row r="942" spans="1:8" x14ac:dyDescent="0.25">
      <c r="A942">
        <v>60</v>
      </c>
      <c r="B942" t="s">
        <v>105</v>
      </c>
      <c r="C942">
        <v>2016</v>
      </c>
      <c r="F942" s="13">
        <v>3008</v>
      </c>
      <c r="G942" t="str">
        <f>VLOOKUP(F942,'Liste Formations'!$A$5:$B$182,2,FALSE)</f>
        <v>Poste 560</v>
      </c>
      <c r="H942">
        <v>151.66999999999999</v>
      </c>
    </row>
    <row r="943" spans="1:8" x14ac:dyDescent="0.25">
      <c r="A943">
        <v>60</v>
      </c>
      <c r="B943" t="s">
        <v>105</v>
      </c>
      <c r="C943">
        <v>2016</v>
      </c>
      <c r="F943" s="13">
        <v>3025</v>
      </c>
      <c r="G943" t="str">
        <f>VLOOKUP(F943,'Liste Formations'!$A$5:$B$182,2,FALSE)</f>
        <v>Poste 930</v>
      </c>
      <c r="H943">
        <v>151.66999999999999</v>
      </c>
    </row>
    <row r="944" spans="1:8" x14ac:dyDescent="0.25">
      <c r="A944">
        <v>60</v>
      </c>
      <c r="B944" t="s">
        <v>105</v>
      </c>
      <c r="C944">
        <v>2016</v>
      </c>
      <c r="F944" s="13">
        <v>3037</v>
      </c>
      <c r="G944" t="str">
        <f>VLOOKUP(F944,'Liste Formations'!$A$5:$B$182,2,FALSE)</f>
        <v>Poste 1121</v>
      </c>
      <c r="H944">
        <v>151.66999999999999</v>
      </c>
    </row>
    <row r="945" spans="1:8" x14ac:dyDescent="0.25">
      <c r="A945">
        <v>60</v>
      </c>
      <c r="B945" t="s">
        <v>105</v>
      </c>
      <c r="C945">
        <v>2017</v>
      </c>
      <c r="F945" s="13">
        <v>1010</v>
      </c>
      <c r="G945" t="str">
        <f>VLOOKUP(F945,'Liste Formations'!$A$5:$B$182,2,FALSE)</f>
        <v>Incendie</v>
      </c>
      <c r="H945">
        <v>2</v>
      </c>
    </row>
    <row r="946" spans="1:8" x14ac:dyDescent="0.25">
      <c r="A946">
        <v>60</v>
      </c>
      <c r="B946" t="s">
        <v>105</v>
      </c>
      <c r="C946">
        <v>2017</v>
      </c>
      <c r="F946" s="13">
        <v>2007</v>
      </c>
      <c r="G946" t="str">
        <f>VLOOKUP(F946,'Liste Formations'!$A$5:$B$182,2,FALSE)</f>
        <v>ERP DIVALTO</v>
      </c>
      <c r="H946">
        <v>7</v>
      </c>
    </row>
    <row r="947" spans="1:8" x14ac:dyDescent="0.25">
      <c r="A947">
        <v>60</v>
      </c>
      <c r="B947" t="s">
        <v>105</v>
      </c>
      <c r="C947">
        <v>2017</v>
      </c>
      <c r="F947" s="13">
        <v>3007</v>
      </c>
      <c r="G947" t="str">
        <f>VLOOKUP(F947,'Liste Formations'!$A$5:$B$182,2,FALSE)</f>
        <v>Poste 516</v>
      </c>
      <c r="H947">
        <v>151.66999999999999</v>
      </c>
    </row>
    <row r="948" spans="1:8" x14ac:dyDescent="0.25">
      <c r="A948">
        <v>60</v>
      </c>
      <c r="B948" t="s">
        <v>105</v>
      </c>
      <c r="C948">
        <v>2017</v>
      </c>
      <c r="F948" s="13">
        <v>3014</v>
      </c>
      <c r="G948" t="str">
        <f>VLOOKUP(F948,'Liste Formations'!$A$5:$B$182,2,FALSE)</f>
        <v>Poste 902</v>
      </c>
      <c r="H948">
        <v>151.66999999999999</v>
      </c>
    </row>
    <row r="949" spans="1:8" x14ac:dyDescent="0.25">
      <c r="A949">
        <v>60</v>
      </c>
      <c r="B949" t="s">
        <v>105</v>
      </c>
      <c r="C949">
        <v>2017</v>
      </c>
      <c r="F949" s="13">
        <v>3021</v>
      </c>
      <c r="G949" t="str">
        <f>VLOOKUP(F949,'Liste Formations'!$A$5:$B$182,2,FALSE)</f>
        <v>Poste 912</v>
      </c>
      <c r="H949">
        <v>151.66999999999999</v>
      </c>
    </row>
    <row r="950" spans="1:8" x14ac:dyDescent="0.25">
      <c r="A950">
        <v>60</v>
      </c>
      <c r="B950" t="s">
        <v>105</v>
      </c>
      <c r="C950">
        <v>2017</v>
      </c>
      <c r="F950" s="13">
        <v>3033</v>
      </c>
      <c r="G950" t="str">
        <f>VLOOKUP(F950,'Liste Formations'!$A$5:$B$182,2,FALSE)</f>
        <v>Poste 1101</v>
      </c>
      <c r="H950">
        <v>151.66999999999999</v>
      </c>
    </row>
    <row r="951" spans="1:8" x14ac:dyDescent="0.25">
      <c r="A951">
        <v>60</v>
      </c>
      <c r="B951" t="s">
        <v>105</v>
      </c>
      <c r="C951">
        <v>2018</v>
      </c>
      <c r="F951" s="13">
        <v>1001</v>
      </c>
      <c r="G951" t="str">
        <f>VLOOKUP(F951,'Liste Formations'!$A$5:$B$182,2,FALSE)</f>
        <v>Conduite nacelle CACES R486A  Plate forme mobile</v>
      </c>
      <c r="H951">
        <v>7</v>
      </c>
    </row>
    <row r="952" spans="1:8" x14ac:dyDescent="0.25">
      <c r="A952">
        <v>60</v>
      </c>
      <c r="B952" t="s">
        <v>105</v>
      </c>
      <c r="C952">
        <v>2018</v>
      </c>
      <c r="F952" s="13">
        <v>1004</v>
      </c>
      <c r="G952" t="str">
        <f>VLOOKUP(F952,'Liste Formations'!$A$5:$B$182,2,FALSE)</f>
        <v>Conduite Chariots Cat.3</v>
      </c>
      <c r="H952">
        <v>7</v>
      </c>
    </row>
    <row r="953" spans="1:8" x14ac:dyDescent="0.25">
      <c r="A953">
        <v>60</v>
      </c>
      <c r="B953" t="s">
        <v>105</v>
      </c>
      <c r="C953">
        <v>2018</v>
      </c>
      <c r="F953" s="13">
        <v>1020</v>
      </c>
      <c r="G953" t="str">
        <f>VLOOKUP(F953,'Liste Formations'!$A$5:$B$182,2,FALSE)</f>
        <v>Prévention TMS - Gestes Postures et Nutrition</v>
      </c>
      <c r="H953">
        <v>3.5</v>
      </c>
    </row>
    <row r="954" spans="1:8" x14ac:dyDescent="0.25">
      <c r="A954">
        <v>60</v>
      </c>
      <c r="B954" t="s">
        <v>105</v>
      </c>
      <c r="C954">
        <v>2018</v>
      </c>
      <c r="F954" s="13">
        <v>3002</v>
      </c>
      <c r="G954" t="str">
        <f>VLOOKUP(F954,'Liste Formations'!$A$5:$B$182,2,FALSE)</f>
        <v>Poste 507</v>
      </c>
      <c r="H954">
        <v>151.66999999999999</v>
      </c>
    </row>
    <row r="955" spans="1:8" x14ac:dyDescent="0.25">
      <c r="A955">
        <v>60</v>
      </c>
      <c r="B955" t="s">
        <v>105</v>
      </c>
      <c r="C955">
        <v>2018</v>
      </c>
      <c r="F955" s="13">
        <v>3008</v>
      </c>
      <c r="G955" t="str">
        <f>VLOOKUP(F955,'Liste Formations'!$A$5:$B$182,2,FALSE)</f>
        <v>Poste 560</v>
      </c>
      <c r="H955">
        <v>151.66999999999999</v>
      </c>
    </row>
    <row r="956" spans="1:8" x14ac:dyDescent="0.25">
      <c r="A956">
        <v>60</v>
      </c>
      <c r="B956" t="s">
        <v>105</v>
      </c>
      <c r="C956">
        <v>2018</v>
      </c>
      <c r="F956" s="13">
        <v>3010</v>
      </c>
      <c r="G956" t="str">
        <f>VLOOKUP(F956,'Liste Formations'!$A$5:$B$182,2,FALSE)</f>
        <v>Poste 830</v>
      </c>
      <c r="H956">
        <v>151.66999999999999</v>
      </c>
    </row>
    <row r="957" spans="1:8" x14ac:dyDescent="0.25">
      <c r="A957">
        <v>60</v>
      </c>
      <c r="B957" t="s">
        <v>105</v>
      </c>
      <c r="C957">
        <v>2018</v>
      </c>
      <c r="F957" s="13">
        <v>3025</v>
      </c>
      <c r="G957" t="str">
        <f>VLOOKUP(F957,'Liste Formations'!$A$5:$B$182,2,FALSE)</f>
        <v>Poste 930</v>
      </c>
      <c r="H957">
        <v>151.66999999999999</v>
      </c>
    </row>
    <row r="958" spans="1:8" x14ac:dyDescent="0.25">
      <c r="A958">
        <v>60</v>
      </c>
      <c r="B958" t="s">
        <v>105</v>
      </c>
      <c r="C958">
        <v>2018</v>
      </c>
      <c r="F958" s="13">
        <v>3037</v>
      </c>
      <c r="G958" t="str">
        <f>VLOOKUP(F958,'Liste Formations'!$A$5:$B$182,2,FALSE)</f>
        <v>Poste 1121</v>
      </c>
      <c r="H958">
        <v>151.66999999999999</v>
      </c>
    </row>
    <row r="959" spans="1:8" x14ac:dyDescent="0.25">
      <c r="A959">
        <v>60</v>
      </c>
      <c r="B959" t="s">
        <v>105</v>
      </c>
      <c r="C959">
        <v>2019</v>
      </c>
      <c r="F959" s="13">
        <v>1009</v>
      </c>
      <c r="G959" t="str">
        <f>VLOOKUP(F959,'Liste Formations'!$A$5:$B$182,2,FALSE)</f>
        <v>Défibrillateur</v>
      </c>
      <c r="H959">
        <v>3</v>
      </c>
    </row>
    <row r="960" spans="1:8" x14ac:dyDescent="0.25">
      <c r="A960">
        <v>60</v>
      </c>
      <c r="B960" t="s">
        <v>105</v>
      </c>
      <c r="C960">
        <v>2019</v>
      </c>
      <c r="F960" s="13">
        <v>1010</v>
      </c>
      <c r="G960" t="str">
        <f>VLOOKUP(F960,'Liste Formations'!$A$5:$B$182,2,FALSE)</f>
        <v>Incendie</v>
      </c>
      <c r="H960">
        <v>3</v>
      </c>
    </row>
    <row r="961" spans="1:8" x14ac:dyDescent="0.25">
      <c r="A961">
        <v>60</v>
      </c>
      <c r="B961" t="s">
        <v>105</v>
      </c>
      <c r="C961">
        <v>2019</v>
      </c>
      <c r="F961" s="13">
        <v>1022</v>
      </c>
      <c r="G961" t="str">
        <f>VLOOKUP(F961,'Liste Formations'!$A$5:$B$182,2,FALSE)</f>
        <v>Sensibilisation au bruit</v>
      </c>
      <c r="H961">
        <v>0.16</v>
      </c>
    </row>
    <row r="962" spans="1:8" x14ac:dyDescent="0.25">
      <c r="A962">
        <v>60</v>
      </c>
      <c r="B962" t="s">
        <v>105</v>
      </c>
      <c r="C962">
        <v>2019</v>
      </c>
      <c r="F962" s="13">
        <v>3005</v>
      </c>
      <c r="G962" t="str">
        <f>VLOOKUP(F962,'Liste Formations'!$A$5:$B$182,2,FALSE)</f>
        <v>Poste 514</v>
      </c>
      <c r="H962">
        <v>151.66999999999999</v>
      </c>
    </row>
    <row r="963" spans="1:8" x14ac:dyDescent="0.25">
      <c r="A963">
        <v>60</v>
      </c>
      <c r="B963" t="s">
        <v>105</v>
      </c>
      <c r="C963">
        <v>2019</v>
      </c>
      <c r="F963" s="13">
        <v>3006</v>
      </c>
      <c r="G963" t="str">
        <f>VLOOKUP(F963,'Liste Formations'!$A$5:$B$182,2,FALSE)</f>
        <v>Poste 515</v>
      </c>
      <c r="H963">
        <v>151.66999999999999</v>
      </c>
    </row>
    <row r="964" spans="1:8" x14ac:dyDescent="0.25">
      <c r="A964">
        <v>60</v>
      </c>
      <c r="B964" t="s">
        <v>105</v>
      </c>
      <c r="C964">
        <v>2019</v>
      </c>
      <c r="F964" s="13">
        <v>3007</v>
      </c>
      <c r="G964" t="str">
        <f>VLOOKUP(F964,'Liste Formations'!$A$5:$B$182,2,FALSE)</f>
        <v>Poste 516</v>
      </c>
      <c r="H964">
        <v>151.66999999999999</v>
      </c>
    </row>
    <row r="965" spans="1:8" x14ac:dyDescent="0.25">
      <c r="A965">
        <v>60</v>
      </c>
      <c r="B965" t="s">
        <v>105</v>
      </c>
      <c r="C965">
        <v>2019</v>
      </c>
      <c r="F965" s="13">
        <v>3014</v>
      </c>
      <c r="G965" t="str">
        <f>VLOOKUP(F965,'Liste Formations'!$A$5:$B$182,2,FALSE)</f>
        <v>Poste 902</v>
      </c>
      <c r="H965">
        <v>151.66999999999999</v>
      </c>
    </row>
    <row r="966" spans="1:8" x14ac:dyDescent="0.25">
      <c r="A966">
        <v>60</v>
      </c>
      <c r="B966" t="s">
        <v>105</v>
      </c>
      <c r="C966">
        <v>2019</v>
      </c>
      <c r="F966" s="13">
        <v>3021</v>
      </c>
      <c r="G966" t="str">
        <f>VLOOKUP(F966,'Liste Formations'!$A$5:$B$182,2,FALSE)</f>
        <v>Poste 912</v>
      </c>
      <c r="H966">
        <v>151.66999999999999</v>
      </c>
    </row>
    <row r="967" spans="1:8" x14ac:dyDescent="0.25">
      <c r="A967">
        <v>60</v>
      </c>
      <c r="B967" t="s">
        <v>105</v>
      </c>
      <c r="C967">
        <v>2019</v>
      </c>
      <c r="F967" s="13">
        <v>3023</v>
      </c>
      <c r="G967" t="str">
        <f>VLOOKUP(F967,'Liste Formations'!$A$5:$B$182,2,FALSE)</f>
        <v>Poste 923</v>
      </c>
      <c r="H967">
        <v>151.66999999999999</v>
      </c>
    </row>
    <row r="968" spans="1:8" x14ac:dyDescent="0.25">
      <c r="A968">
        <v>60</v>
      </c>
      <c r="B968" t="s">
        <v>105</v>
      </c>
      <c r="C968">
        <v>2020</v>
      </c>
      <c r="F968" s="13">
        <v>2007</v>
      </c>
      <c r="G968" t="str">
        <f>VLOOKUP(F968,'Liste Formations'!$A$5:$B$182,2,FALSE)</f>
        <v>ERP DIVALTO</v>
      </c>
      <c r="H968">
        <v>2.5</v>
      </c>
    </row>
    <row r="969" spans="1:8" x14ac:dyDescent="0.25">
      <c r="A969">
        <v>60</v>
      </c>
      <c r="B969" t="s">
        <v>105</v>
      </c>
      <c r="C969">
        <v>2020</v>
      </c>
      <c r="F969" s="13">
        <v>3013</v>
      </c>
      <c r="G969" t="str">
        <f>VLOOKUP(F969,'Liste Formations'!$A$5:$B$182,2,FALSE)</f>
        <v>Poste 901</v>
      </c>
      <c r="H969">
        <v>120</v>
      </c>
    </row>
    <row r="970" spans="1:8" x14ac:dyDescent="0.25">
      <c r="A970">
        <v>60</v>
      </c>
      <c r="B970" t="s">
        <v>105</v>
      </c>
      <c r="C970">
        <v>2020</v>
      </c>
      <c r="F970" s="13">
        <v>3026</v>
      </c>
      <c r="G970" t="str">
        <f>VLOOKUP(F970,'Liste Formations'!$A$5:$B$182,2,FALSE)</f>
        <v>Poste 940</v>
      </c>
      <c r="H970">
        <v>96</v>
      </c>
    </row>
    <row r="971" spans="1:8" x14ac:dyDescent="0.25">
      <c r="A971">
        <v>60</v>
      </c>
      <c r="B971" t="s">
        <v>105</v>
      </c>
      <c r="C971">
        <v>2020</v>
      </c>
      <c r="F971" s="13">
        <v>3027</v>
      </c>
      <c r="G971" t="str">
        <f>VLOOKUP(F971,'Liste Formations'!$A$5:$B$182,2,FALSE)</f>
        <v>Poste 941</v>
      </c>
      <c r="H971">
        <v>134</v>
      </c>
    </row>
    <row r="972" spans="1:8" x14ac:dyDescent="0.25">
      <c r="A972">
        <v>60</v>
      </c>
      <c r="B972" t="s">
        <v>105</v>
      </c>
      <c r="C972">
        <v>2020</v>
      </c>
      <c r="F972" s="13">
        <v>3028</v>
      </c>
      <c r="G972" t="str">
        <f>VLOOKUP(F972,'Liste Formations'!$A$5:$B$182,2,FALSE)</f>
        <v>Poste 942</v>
      </c>
      <c r="H972">
        <v>66</v>
      </c>
    </row>
    <row r="973" spans="1:8" x14ac:dyDescent="0.25">
      <c r="A973">
        <v>60</v>
      </c>
      <c r="B973" t="s">
        <v>105</v>
      </c>
      <c r="C973">
        <v>2021</v>
      </c>
      <c r="F973" s="13">
        <v>3001</v>
      </c>
      <c r="G973" t="str">
        <f>VLOOKUP(F973,'Liste Formations'!$A$5:$B$182,2,FALSE)</f>
        <v>Poste 506</v>
      </c>
      <c r="H973">
        <v>151.66999999999999</v>
      </c>
    </row>
    <row r="974" spans="1:8" x14ac:dyDescent="0.25">
      <c r="A974">
        <v>60</v>
      </c>
      <c r="B974" t="s">
        <v>105</v>
      </c>
      <c r="C974">
        <v>2021</v>
      </c>
      <c r="F974" s="13">
        <v>3002</v>
      </c>
      <c r="G974" t="str">
        <f>VLOOKUP(F974,'Liste Formations'!$A$5:$B$182,2,FALSE)</f>
        <v>Poste 507</v>
      </c>
      <c r="H974">
        <v>151.66999999999999</v>
      </c>
    </row>
    <row r="975" spans="1:8" x14ac:dyDescent="0.25">
      <c r="A975">
        <v>60</v>
      </c>
      <c r="B975" t="s">
        <v>105</v>
      </c>
      <c r="C975">
        <v>2021</v>
      </c>
      <c r="F975" s="13">
        <v>3005</v>
      </c>
      <c r="G975" t="str">
        <f>VLOOKUP(F975,'Liste Formations'!$A$5:$B$182,2,FALSE)</f>
        <v>Poste 514</v>
      </c>
      <c r="H975">
        <v>151.66999999999999</v>
      </c>
    </row>
    <row r="976" spans="1:8" x14ac:dyDescent="0.25">
      <c r="A976">
        <v>60</v>
      </c>
      <c r="B976" t="s">
        <v>105</v>
      </c>
      <c r="C976">
        <v>2023</v>
      </c>
      <c r="F976" s="13">
        <v>1004</v>
      </c>
      <c r="G976" t="str">
        <f>VLOOKUP(F976,'Liste Formations'!$A$5:$B$182,2,FALSE)</f>
        <v>Conduite Chariots Cat.3</v>
      </c>
      <c r="H976">
        <v>7</v>
      </c>
    </row>
    <row r="977" spans="1:8" x14ac:dyDescent="0.25">
      <c r="A977">
        <v>60</v>
      </c>
      <c r="B977" t="s">
        <v>105</v>
      </c>
      <c r="C977">
        <v>2023</v>
      </c>
      <c r="F977" s="13">
        <v>1030</v>
      </c>
      <c r="G977" t="str">
        <f>VLOOKUP(F977,'Liste Formations'!$A$5:$B$182,2,FALSE)</f>
        <v>Utilisation PTI</v>
      </c>
      <c r="H977">
        <v>0.5</v>
      </c>
    </row>
    <row r="978" spans="1:8" x14ac:dyDescent="0.25">
      <c r="A978">
        <v>60</v>
      </c>
      <c r="B978" t="s">
        <v>105</v>
      </c>
      <c r="C978">
        <v>2023</v>
      </c>
      <c r="F978" s="13">
        <v>3018</v>
      </c>
      <c r="G978" t="str">
        <f>VLOOKUP(F978,'Liste Formations'!$A$5:$B$182,2,FALSE)</f>
        <v>Poste 906</v>
      </c>
      <c r="H978">
        <v>151.66999999999999</v>
      </c>
    </row>
    <row r="979" spans="1:8" x14ac:dyDescent="0.25">
      <c r="A979">
        <v>60</v>
      </c>
      <c r="B979" t="s">
        <v>105</v>
      </c>
      <c r="C979">
        <v>2023</v>
      </c>
      <c r="F979" s="13">
        <v>3028</v>
      </c>
      <c r="G979" t="str">
        <f>VLOOKUP(F979,'Liste Formations'!$A$5:$B$182,2,FALSE)</f>
        <v>Poste 942</v>
      </c>
      <c r="H979">
        <v>151.66999999999999</v>
      </c>
    </row>
    <row r="982" spans="1:8" x14ac:dyDescent="0.25">
      <c r="A982">
        <v>290</v>
      </c>
      <c r="B982" t="s">
        <v>108</v>
      </c>
      <c r="C982">
        <v>2011</v>
      </c>
      <c r="F982" s="13">
        <v>2001</v>
      </c>
      <c r="G982" t="str">
        <f>VLOOKUP(F982,'Liste Formations'!$A$5:$B$182,2,FALSE)</f>
        <v>IFOCA le mélangeage</v>
      </c>
      <c r="H982">
        <v>42</v>
      </c>
    </row>
    <row r="983" spans="1:8" x14ac:dyDescent="0.25">
      <c r="A983">
        <v>290</v>
      </c>
      <c r="B983" t="s">
        <v>108</v>
      </c>
      <c r="C983">
        <v>2011</v>
      </c>
      <c r="F983" s="13">
        <v>2013</v>
      </c>
      <c r="G983" t="str">
        <f>VLOOKUP(F983,'Liste Formations'!$A$5:$B$182,2,FALSE)</f>
        <v>Auditeur interne ISO 9001/IATF</v>
      </c>
      <c r="H983">
        <v>14</v>
      </c>
    </row>
    <row r="984" spans="1:8" x14ac:dyDescent="0.25">
      <c r="A984">
        <v>290</v>
      </c>
      <c r="B984" t="s">
        <v>108</v>
      </c>
      <c r="C984">
        <v>2012</v>
      </c>
      <c r="F984" s="13">
        <v>1014</v>
      </c>
      <c r="G984" t="str">
        <f>VLOOKUP(F984,'Liste Formations'!$A$5:$B$182,2,FALSE)</f>
        <v>Membres CSE</v>
      </c>
      <c r="H984">
        <v>21</v>
      </c>
    </row>
    <row r="985" spans="1:8" x14ac:dyDescent="0.25">
      <c r="A985">
        <v>290</v>
      </c>
      <c r="B985" t="s">
        <v>108</v>
      </c>
      <c r="C985">
        <v>2013</v>
      </c>
      <c r="F985" s="13">
        <v>2002</v>
      </c>
      <c r="G985" t="str">
        <f>VLOOKUP(F985,'Liste Formations'!$A$5:$B$182,2,FALSE)</f>
        <v>IFOCA Initiation Personnel de Laboratoire</v>
      </c>
      <c r="H985">
        <v>28</v>
      </c>
    </row>
    <row r="986" spans="1:8" x14ac:dyDescent="0.25">
      <c r="A986">
        <v>290</v>
      </c>
      <c r="B986" t="s">
        <v>108</v>
      </c>
      <c r="C986">
        <v>2014</v>
      </c>
      <c r="F986" s="13">
        <v>2001</v>
      </c>
      <c r="G986" t="str">
        <f>VLOOKUP(F986,'Liste Formations'!$A$5:$B$182,2,FALSE)</f>
        <v>IFOCA le mélangeage</v>
      </c>
      <c r="H986">
        <v>35</v>
      </c>
    </row>
    <row r="987" spans="1:8" x14ac:dyDescent="0.25">
      <c r="A987">
        <v>290</v>
      </c>
      <c r="B987" t="s">
        <v>108</v>
      </c>
      <c r="C987">
        <v>2015</v>
      </c>
      <c r="F987" s="13">
        <v>2024</v>
      </c>
      <c r="G987" t="str">
        <f>VLOOKUP(F987,'Liste Formations'!$A$5:$B$182,2,FALSE)</f>
        <v>Logiciel NEXIGEN+</v>
      </c>
      <c r="H987">
        <v>7</v>
      </c>
    </row>
    <row r="988" spans="1:8" x14ac:dyDescent="0.25">
      <c r="A988">
        <v>290</v>
      </c>
      <c r="B988" t="s">
        <v>108</v>
      </c>
      <c r="C988">
        <v>2017</v>
      </c>
      <c r="F988" s="13">
        <v>2007</v>
      </c>
      <c r="G988" t="str">
        <f>VLOOKUP(F988,'Liste Formations'!$A$5:$B$182,2,FALSE)</f>
        <v>ERP DIVALTO</v>
      </c>
      <c r="H988">
        <v>7</v>
      </c>
    </row>
    <row r="989" spans="1:8" x14ac:dyDescent="0.25">
      <c r="A989">
        <v>290</v>
      </c>
      <c r="B989" t="s">
        <v>108</v>
      </c>
      <c r="C989">
        <v>2018</v>
      </c>
      <c r="F989" s="13">
        <v>1009</v>
      </c>
      <c r="G989" t="str">
        <f>VLOOKUP(F989,'Liste Formations'!$A$5:$B$182,2,FALSE)</f>
        <v>Défibrillateur</v>
      </c>
      <c r="H989">
        <v>3</v>
      </c>
    </row>
    <row r="990" spans="1:8" x14ac:dyDescent="0.25">
      <c r="A990">
        <v>290</v>
      </c>
      <c r="B990" t="s">
        <v>108</v>
      </c>
      <c r="C990">
        <v>2018</v>
      </c>
      <c r="F990" s="13">
        <v>1010</v>
      </c>
      <c r="G990" t="str">
        <f>VLOOKUP(F990,'Liste Formations'!$A$5:$B$182,2,FALSE)</f>
        <v>Incendie</v>
      </c>
      <c r="H990">
        <v>3</v>
      </c>
    </row>
    <row r="991" spans="1:8" x14ac:dyDescent="0.25">
      <c r="A991">
        <v>290</v>
      </c>
      <c r="B991" t="s">
        <v>108</v>
      </c>
      <c r="C991">
        <v>2018</v>
      </c>
      <c r="F991" s="13">
        <v>1016</v>
      </c>
      <c r="G991" t="str">
        <f>VLOOKUP(F991,'Liste Formations'!$A$5:$B$182,2,FALSE)</f>
        <v>S.S.T. Sauveteurs Secourites du Travail</v>
      </c>
      <c r="H991">
        <v>14</v>
      </c>
    </row>
    <row r="992" spans="1:8" x14ac:dyDescent="0.25">
      <c r="A992">
        <v>290</v>
      </c>
      <c r="B992" t="s">
        <v>108</v>
      </c>
      <c r="C992">
        <v>2018</v>
      </c>
      <c r="F992" s="13">
        <v>1021</v>
      </c>
      <c r="G992" t="str">
        <f>VLOOKUP(F992,'Liste Formations'!$A$5:$B$182,2,FALSE)</f>
        <v>Gestion du stress</v>
      </c>
      <c r="H992">
        <v>4</v>
      </c>
    </row>
    <row r="993" spans="1:8" x14ac:dyDescent="0.25">
      <c r="A993">
        <v>290</v>
      </c>
      <c r="B993" t="s">
        <v>108</v>
      </c>
      <c r="C993">
        <v>2018</v>
      </c>
      <c r="F993" s="13">
        <v>2022</v>
      </c>
      <c r="G993" t="str">
        <f>VLOOKUP(F993,'Liste Formations'!$A$5:$B$182,2,FALSE)</f>
        <v>MDR Pression : Mesure effet agents gonflants dans un mélange C/C</v>
      </c>
      <c r="H993">
        <v>14</v>
      </c>
    </row>
    <row r="994" spans="1:8" x14ac:dyDescent="0.25">
      <c r="A994">
        <v>290</v>
      </c>
      <c r="B994" t="s">
        <v>108</v>
      </c>
      <c r="C994">
        <v>2019</v>
      </c>
      <c r="F994" s="13">
        <v>1009</v>
      </c>
      <c r="G994" t="str">
        <f>VLOOKUP(F994,'Liste Formations'!$A$5:$B$182,2,FALSE)</f>
        <v>Défibrillateur</v>
      </c>
      <c r="H994">
        <v>3</v>
      </c>
    </row>
    <row r="995" spans="1:8" x14ac:dyDescent="0.25">
      <c r="A995">
        <v>290</v>
      </c>
      <c r="B995" t="s">
        <v>108</v>
      </c>
      <c r="C995">
        <v>2019</v>
      </c>
      <c r="F995" s="13">
        <v>1010</v>
      </c>
      <c r="G995" t="str">
        <f>VLOOKUP(F995,'Liste Formations'!$A$5:$B$182,2,FALSE)</f>
        <v>Incendie</v>
      </c>
      <c r="H995">
        <v>3</v>
      </c>
    </row>
    <row r="996" spans="1:8" x14ac:dyDescent="0.25">
      <c r="A996">
        <v>290</v>
      </c>
      <c r="B996" t="s">
        <v>108</v>
      </c>
      <c r="C996">
        <v>2019</v>
      </c>
      <c r="F996" s="13">
        <v>1028</v>
      </c>
      <c r="G996" t="str">
        <f>VLOOKUP(F996,'Liste Formations'!$A$5:$B$182,2,FALSE)</f>
        <v>PRAP IBC</v>
      </c>
      <c r="H996">
        <v>14</v>
      </c>
    </row>
    <row r="997" spans="1:8" x14ac:dyDescent="0.25">
      <c r="A997">
        <v>290</v>
      </c>
      <c r="B997" t="s">
        <v>108</v>
      </c>
      <c r="C997">
        <v>2019</v>
      </c>
      <c r="F997" s="13">
        <v>2021</v>
      </c>
      <c r="G997" t="str">
        <f>VLOOKUP(F997,'Liste Formations'!$A$5:$B$182,2,FALSE)</f>
        <v>ENTERPRISE / ALPHA TECHNOLOGIE</v>
      </c>
      <c r="H997">
        <v>2</v>
      </c>
    </row>
    <row r="998" spans="1:8" x14ac:dyDescent="0.25">
      <c r="A998">
        <v>290</v>
      </c>
      <c r="B998" t="s">
        <v>108</v>
      </c>
      <c r="C998">
        <v>2019</v>
      </c>
      <c r="F998" s="13">
        <v>2033</v>
      </c>
      <c r="G998" t="str">
        <f>VLOOKUP(F998,'Liste Formations'!$A$5:$B$182,2,FALSE)</f>
        <v>Responsable sécurité</v>
      </c>
      <c r="H998">
        <v>14</v>
      </c>
    </row>
    <row r="999" spans="1:8" x14ac:dyDescent="0.25">
      <c r="A999">
        <v>290</v>
      </c>
      <c r="B999" t="s">
        <v>108</v>
      </c>
      <c r="C999">
        <v>2020</v>
      </c>
      <c r="F999" s="13">
        <v>1031</v>
      </c>
      <c r="G999" t="str">
        <f>VLOOKUP(F999,'Liste Formations'!$A$5:$B$182,2,FALSE)</f>
        <v>Référent harcèlement</v>
      </c>
      <c r="H999">
        <v>7</v>
      </c>
    </row>
    <row r="1000" spans="1:8" x14ac:dyDescent="0.25">
      <c r="A1000">
        <v>290</v>
      </c>
      <c r="B1000" t="s">
        <v>108</v>
      </c>
      <c r="C1000">
        <v>2020</v>
      </c>
      <c r="F1000" s="13">
        <v>1017</v>
      </c>
      <c r="G1000" t="str">
        <f>VLOOKUP(F1000,'Liste Formations'!$A$5:$B$182,2,FALSE)</f>
        <v>R. S.S.T. Recyclage Sauveteurs Secourites du Travail</v>
      </c>
      <c r="H1000">
        <v>7</v>
      </c>
    </row>
    <row r="1001" spans="1:8" x14ac:dyDescent="0.25">
      <c r="A1001">
        <v>290</v>
      </c>
      <c r="B1001" t="s">
        <v>108</v>
      </c>
      <c r="C1001">
        <v>2021</v>
      </c>
      <c r="F1001" s="13">
        <v>1023</v>
      </c>
      <c r="G1001" t="str">
        <f>VLOOKUP(F1001,'Liste Formations'!$A$5:$B$182,2,FALSE)</f>
        <v>Chargé de prévention TMS</v>
      </c>
      <c r="H1001">
        <v>14</v>
      </c>
    </row>
    <row r="1002" spans="1:8" x14ac:dyDescent="0.25">
      <c r="A1002">
        <v>290</v>
      </c>
      <c r="B1002" t="s">
        <v>108</v>
      </c>
      <c r="C1002">
        <v>2021</v>
      </c>
      <c r="F1002" s="13">
        <v>1029</v>
      </c>
      <c r="G1002" t="str">
        <f>VLOOKUP(F1002,'Liste Formations'!$A$5:$B$182,2,FALSE)</f>
        <v>ADR Transport de matières dangereuses</v>
      </c>
      <c r="H1002">
        <v>7</v>
      </c>
    </row>
    <row r="1003" spans="1:8" x14ac:dyDescent="0.25">
      <c r="A1003">
        <v>290</v>
      </c>
      <c r="B1003" t="s">
        <v>108</v>
      </c>
      <c r="C1003">
        <v>2022</v>
      </c>
      <c r="F1003" s="13">
        <v>1017</v>
      </c>
      <c r="G1003" t="str">
        <f>VLOOKUP(F1003,'Liste Formations'!$A$5:$B$182,2,FALSE)</f>
        <v>R. S.S.T. Recyclage Sauveteurs Secourites du Travail</v>
      </c>
      <c r="H1003">
        <v>7</v>
      </c>
    </row>
    <row r="1004" spans="1:8" x14ac:dyDescent="0.25">
      <c r="A1004">
        <v>290</v>
      </c>
      <c r="B1004" t="s">
        <v>108</v>
      </c>
      <c r="C1004">
        <v>2022</v>
      </c>
      <c r="F1004" s="13">
        <v>2032</v>
      </c>
      <c r="G1004" t="str">
        <f>VLOOKUP(F1004,'Liste Formations'!$A$5:$B$182,2,FALSE)</f>
        <v>Droit des ICPE ACD Chimie</v>
      </c>
      <c r="H1004">
        <v>7</v>
      </c>
    </row>
    <row r="1005" spans="1:8" x14ac:dyDescent="0.25">
      <c r="A1005">
        <v>290</v>
      </c>
      <c r="B1005" t="s">
        <v>108</v>
      </c>
      <c r="C1005">
        <v>2023</v>
      </c>
      <c r="F1005" s="13">
        <v>1014</v>
      </c>
      <c r="G1005" t="str">
        <f>VLOOKUP(F1005,'Liste Formations'!$A$5:$B$182,2,FALSE)</f>
        <v>Membres CSE</v>
      </c>
      <c r="H1005">
        <v>35</v>
      </c>
    </row>
    <row r="1006" spans="1:8" x14ac:dyDescent="0.25">
      <c r="A1006">
        <v>290</v>
      </c>
      <c r="B1006" t="s">
        <v>108</v>
      </c>
      <c r="C1006">
        <v>2023</v>
      </c>
      <c r="F1006" s="13">
        <v>2019</v>
      </c>
      <c r="G1006" t="str">
        <f>VLOOKUP(F1006,'Liste Formations'!$A$5:$B$182,2,FALSE)</f>
        <v>Mélangeage
Mélangeur en interne</v>
      </c>
      <c r="H1006">
        <v>28</v>
      </c>
    </row>
    <row r="1007" spans="1:8" x14ac:dyDescent="0.25">
      <c r="A1007">
        <v>290</v>
      </c>
      <c r="B1007" t="s">
        <v>108</v>
      </c>
      <c r="C1007">
        <v>2023</v>
      </c>
      <c r="F1007" s="13">
        <v>2027</v>
      </c>
      <c r="G1007" t="str">
        <f>VLOOKUP(F1007,'Liste Formations'!$A$5:$B$182,2,FALSE)</f>
        <v>INSTRON</v>
      </c>
      <c r="H1007">
        <v>3.5</v>
      </c>
    </row>
    <row r="1008" spans="1:8" x14ac:dyDescent="0.25">
      <c r="A1008">
        <v>290</v>
      </c>
      <c r="B1008" t="s">
        <v>108</v>
      </c>
      <c r="C1008">
        <v>2023</v>
      </c>
      <c r="F1008" s="13">
        <v>2028</v>
      </c>
      <c r="G1008" t="str">
        <f>VLOOKUP(F1008,'Liste Formations'!$A$5:$B$182,2,FALSE)</f>
        <v>Bilan
Carbone</v>
      </c>
      <c r="H1008">
        <v>22</v>
      </c>
    </row>
    <row r="1009" spans="1:8" x14ac:dyDescent="0.25">
      <c r="A1009">
        <v>290</v>
      </c>
      <c r="B1009" t="s">
        <v>108</v>
      </c>
      <c r="C1009">
        <v>2024</v>
      </c>
      <c r="F1009" s="13">
        <v>1016</v>
      </c>
      <c r="G1009" t="str">
        <f>VLOOKUP(F1009,'Liste Formations'!$A$5:$B$182,2,FALSE)</f>
        <v>S.S.T. Sauveteurs Secourites du Travail</v>
      </c>
      <c r="H1009">
        <v>7</v>
      </c>
    </row>
    <row r="1010" spans="1:8" x14ac:dyDescent="0.25">
      <c r="A1010">
        <v>290</v>
      </c>
      <c r="B1010" t="s">
        <v>108</v>
      </c>
      <c r="C1010">
        <v>2024</v>
      </c>
      <c r="F1010" s="13">
        <v>1032</v>
      </c>
      <c r="G1010" t="str">
        <f>VLOOKUP(F1010,'Liste Formations'!$A$5:$B$182,2,FALSE)</f>
        <v>Sensibilisation RPS Risques Psychosociaux</v>
      </c>
      <c r="H1010">
        <v>2</v>
      </c>
    </row>
    <row r="1011" spans="1:8" x14ac:dyDescent="0.25">
      <c r="A1011">
        <v>290</v>
      </c>
      <c r="B1011" t="s">
        <v>108</v>
      </c>
      <c r="C1011">
        <v>2024</v>
      </c>
      <c r="F1011" s="13">
        <v>1033</v>
      </c>
      <c r="G1011" t="str">
        <f>VLOOKUP(F1011,'Liste Formations'!$A$5:$B$182,2,FALSE)</f>
        <v>Sensibilisation aux addictions</v>
      </c>
      <c r="H1011">
        <v>1.5</v>
      </c>
    </row>
    <row r="1013" spans="1:8" x14ac:dyDescent="0.25">
      <c r="A1013">
        <v>479</v>
      </c>
      <c r="B1013" t="s">
        <v>106</v>
      </c>
      <c r="C1013">
        <v>2023</v>
      </c>
      <c r="F1013" s="13">
        <v>1009</v>
      </c>
      <c r="G1013" t="str">
        <f>VLOOKUP(F1013,'Liste Formations'!$A$5:$B$182,2,FALSE)</f>
        <v>Défibrillateur</v>
      </c>
      <c r="H1013">
        <v>2</v>
      </c>
    </row>
    <row r="1014" spans="1:8" x14ac:dyDescent="0.25">
      <c r="A1014">
        <v>479</v>
      </c>
      <c r="B1014" t="s">
        <v>106</v>
      </c>
      <c r="C1014">
        <v>2023</v>
      </c>
      <c r="F1014" s="13">
        <v>1010</v>
      </c>
      <c r="G1014" t="str">
        <f>VLOOKUP(F1014,'Liste Formations'!$A$5:$B$182,2,FALSE)</f>
        <v>Incendie</v>
      </c>
      <c r="H1014">
        <v>2</v>
      </c>
    </row>
    <row r="1015" spans="1:8" x14ac:dyDescent="0.25">
      <c r="A1015">
        <v>479</v>
      </c>
      <c r="B1015" t="s">
        <v>106</v>
      </c>
      <c r="C1015">
        <v>2024</v>
      </c>
      <c r="F1015" s="13">
        <v>1033</v>
      </c>
      <c r="G1015" t="s">
        <v>248</v>
      </c>
      <c r="H1015">
        <v>1.5</v>
      </c>
    </row>
    <row r="1016" spans="1:8" x14ac:dyDescent="0.25">
      <c r="A1016">
        <v>479</v>
      </c>
      <c r="B1016" t="s">
        <v>106</v>
      </c>
      <c r="C1016">
        <v>2024</v>
      </c>
      <c r="F1016" s="13">
        <v>2041</v>
      </c>
      <c r="G1016" s="15" t="s">
        <v>181</v>
      </c>
      <c r="H1016">
        <v>14</v>
      </c>
    </row>
    <row r="1017" spans="1:8" x14ac:dyDescent="0.25">
      <c r="G1017" s="15"/>
    </row>
    <row r="1018" spans="1:8" x14ac:dyDescent="0.25">
      <c r="A1018" t="s">
        <v>225</v>
      </c>
      <c r="B1018" t="s">
        <v>246</v>
      </c>
      <c r="C1018" t="s">
        <v>56</v>
      </c>
      <c r="D1018" t="s">
        <v>227</v>
      </c>
      <c r="E1018" t="s">
        <v>228</v>
      </c>
      <c r="F1018" s="13" t="s">
        <v>226</v>
      </c>
      <c r="G1018" t="s">
        <v>224</v>
      </c>
      <c r="H1018" t="s">
        <v>229</v>
      </c>
    </row>
    <row r="1019" spans="1:8" x14ac:dyDescent="0.25">
      <c r="A1019">
        <v>427</v>
      </c>
      <c r="B1019" t="s">
        <v>193</v>
      </c>
      <c r="C1019">
        <v>2021</v>
      </c>
      <c r="F1019" s="13">
        <v>1001</v>
      </c>
      <c r="G1019" t="str">
        <f>VLOOKUP(F1019,'Liste Formations'!$A$5:$B$182,2,FALSE)</f>
        <v>Conduite nacelle CACES R486A  Plate forme mobile</v>
      </c>
      <c r="H1019">
        <v>21</v>
      </c>
    </row>
    <row r="1020" spans="1:8" x14ac:dyDescent="0.25">
      <c r="A1020">
        <v>427</v>
      </c>
      <c r="B1020" t="s">
        <v>193</v>
      </c>
      <c r="C1020">
        <v>2021</v>
      </c>
      <c r="F1020" s="13">
        <v>1004</v>
      </c>
      <c r="G1020" t="str">
        <f>VLOOKUP(F1020,'Liste Formations'!$A$5:$B$182,2,FALSE)</f>
        <v>Conduite Chariots Cat.3</v>
      </c>
      <c r="H1020">
        <v>7</v>
      </c>
    </row>
    <row r="1021" spans="1:8" x14ac:dyDescent="0.25">
      <c r="A1021">
        <v>427</v>
      </c>
      <c r="B1021" t="s">
        <v>193</v>
      </c>
      <c r="C1021">
        <v>2021</v>
      </c>
      <c r="F1021" s="13">
        <v>1034</v>
      </c>
      <c r="G1021" t="str">
        <f>VLOOKUP(F1021,'Liste Formations'!$A$5:$B$182,2,FALSE)</f>
        <v>Habilitation électrique BR/BC/B2V/HC/H2V/HE Manœuvre</v>
      </c>
      <c r="H1021">
        <v>21</v>
      </c>
    </row>
    <row r="1022" spans="1:8" x14ac:dyDescent="0.25">
      <c r="A1022">
        <v>427</v>
      </c>
      <c r="B1022" t="s">
        <v>193</v>
      </c>
      <c r="C1022">
        <v>2021</v>
      </c>
      <c r="F1022" s="13">
        <v>1018</v>
      </c>
      <c r="G1022" t="str">
        <f>VLOOKUP(F1022,'Liste Formations'!$A$5:$B$182,2,FALSE)</f>
        <v>AQI Chaufferies - Agent Qualifié d'Intervention en chaufferies</v>
      </c>
      <c r="H1022">
        <v>14</v>
      </c>
    </row>
    <row r="1023" spans="1:8" x14ac:dyDescent="0.25">
      <c r="A1023">
        <v>427</v>
      </c>
      <c r="B1023" t="s">
        <v>193</v>
      </c>
      <c r="C1023">
        <v>2024</v>
      </c>
      <c r="F1023" s="13">
        <v>1013</v>
      </c>
      <c r="G1023" t="s">
        <v>243</v>
      </c>
      <c r="H1023">
        <v>14</v>
      </c>
    </row>
    <row r="1024" spans="1:8" x14ac:dyDescent="0.25">
      <c r="A1024">
        <v>427</v>
      </c>
      <c r="B1024" t="s">
        <v>193</v>
      </c>
      <c r="C1024">
        <v>2024</v>
      </c>
      <c r="F1024" s="13">
        <v>1007</v>
      </c>
      <c r="G1024" t="s">
        <v>284</v>
      </c>
      <c r="H1024">
        <v>10.5</v>
      </c>
    </row>
    <row r="1025" spans="1:8" x14ac:dyDescent="0.25">
      <c r="A1025">
        <v>427</v>
      </c>
      <c r="B1025" t="s">
        <v>193</v>
      </c>
      <c r="C1025">
        <v>2024</v>
      </c>
      <c r="F1025" s="13">
        <v>1008</v>
      </c>
      <c r="G1025" t="s">
        <v>241</v>
      </c>
      <c r="H1025">
        <v>7</v>
      </c>
    </row>
    <row r="1026" spans="1:8" x14ac:dyDescent="0.25">
      <c r="A1026">
        <v>427</v>
      </c>
      <c r="B1026" t="s">
        <v>193</v>
      </c>
      <c r="C1026">
        <v>2024</v>
      </c>
      <c r="F1026" s="13">
        <v>1018</v>
      </c>
      <c r="G1026" t="s">
        <v>209</v>
      </c>
      <c r="H1026">
        <v>7</v>
      </c>
    </row>
    <row r="1027" spans="1:8" x14ac:dyDescent="0.25">
      <c r="A1027">
        <v>427</v>
      </c>
      <c r="B1027" t="s">
        <v>193</v>
      </c>
      <c r="C1027">
        <v>2024</v>
      </c>
      <c r="F1027" s="13">
        <v>2037</v>
      </c>
      <c r="G1027" t="str">
        <f>VLOOKUP(F1027,'Liste Formations'!$A$5:$B$182,2,FALSE)</f>
        <v>API SIEMENS SIMATIC SAFETY TIA PORTAL</v>
      </c>
      <c r="H1027">
        <v>21</v>
      </c>
    </row>
    <row r="1029" spans="1:8" x14ac:dyDescent="0.25">
      <c r="A1029">
        <v>258</v>
      </c>
      <c r="B1029" t="s">
        <v>107</v>
      </c>
      <c r="C1029">
        <v>2009</v>
      </c>
      <c r="F1029" s="13">
        <v>2046</v>
      </c>
      <c r="G1029" t="str">
        <f>VLOOKUP(F1029,'Liste Formations'!$A$5:$B$182,2,FALSE)</f>
        <v>IFOCA - Formulation des caoutchoucs : INITIATION</v>
      </c>
      <c r="H1029">
        <v>35</v>
      </c>
    </row>
    <row r="1030" spans="1:8" x14ac:dyDescent="0.25">
      <c r="A1030">
        <v>258</v>
      </c>
      <c r="B1030" t="s">
        <v>107</v>
      </c>
      <c r="C1030">
        <v>2011</v>
      </c>
      <c r="F1030" s="13">
        <v>2003</v>
      </c>
      <c r="G1030" t="str">
        <f>VLOOKUP(F1030,'Liste Formations'!$A$5:$B$182,2,FALSE)</f>
        <v xml:space="preserve">CIRAD / Les secrets d'un polymère </v>
      </c>
      <c r="H1030">
        <v>14</v>
      </c>
    </row>
    <row r="1031" spans="1:8" x14ac:dyDescent="0.25">
      <c r="A1031">
        <v>258</v>
      </c>
      <c r="B1031" t="s">
        <v>107</v>
      </c>
      <c r="C1031">
        <v>2011</v>
      </c>
      <c r="F1031" s="13">
        <v>2005</v>
      </c>
      <c r="G1031" t="str">
        <f>VLOOKUP(F1031,'Liste Formations'!$A$5:$B$182,2,FALSE)</f>
        <v>Formation LEAN</v>
      </c>
      <c r="H1031">
        <v>7</v>
      </c>
    </row>
    <row r="1032" spans="1:8" x14ac:dyDescent="0.25">
      <c r="A1032">
        <v>258</v>
      </c>
      <c r="B1032" t="s">
        <v>107</v>
      </c>
      <c r="C1032">
        <v>2013</v>
      </c>
      <c r="F1032" s="13">
        <v>2014</v>
      </c>
      <c r="G1032" t="str">
        <f>VLOOKUP(F1032,'Liste Formations'!$A$5:$B$182,2,FALSE)</f>
        <v>Gestion Projet + ISO T.S.</v>
      </c>
      <c r="H1032">
        <v>7</v>
      </c>
    </row>
    <row r="1033" spans="1:8" x14ac:dyDescent="0.25">
      <c r="A1033">
        <v>258</v>
      </c>
      <c r="B1033" t="s">
        <v>107</v>
      </c>
      <c r="C1033">
        <v>2014</v>
      </c>
      <c r="F1033" s="13">
        <v>1011</v>
      </c>
      <c r="G1033" t="str">
        <f>VLOOKUP(F1033,'Liste Formations'!$A$5:$B$182,2,FALSE)</f>
        <v>UTI.COM - SSI / CHUBB</v>
      </c>
      <c r="H1033">
        <v>4</v>
      </c>
    </row>
    <row r="1034" spans="1:8" x14ac:dyDescent="0.25">
      <c r="A1034">
        <v>258</v>
      </c>
      <c r="B1034" t="s">
        <v>107</v>
      </c>
      <c r="C1034">
        <v>2016</v>
      </c>
      <c r="F1034" s="13">
        <v>2007</v>
      </c>
      <c r="G1034" t="str">
        <f>VLOOKUP(F1034,'Liste Formations'!$A$5:$B$182,2,FALSE)</f>
        <v>ERP DIVALTO</v>
      </c>
      <c r="H1034">
        <v>7</v>
      </c>
    </row>
    <row r="1035" spans="1:8" x14ac:dyDescent="0.25">
      <c r="A1035">
        <v>258</v>
      </c>
      <c r="B1035" t="s">
        <v>107</v>
      </c>
      <c r="C1035">
        <v>2016</v>
      </c>
      <c r="F1035" s="13">
        <v>2029</v>
      </c>
      <c r="G1035" t="str">
        <f>VLOOKUP(F1035,'Liste Formations'!$A$5:$B$182,2,FALSE)</f>
        <v>CORE
TOOLS</v>
      </c>
      <c r="H1035">
        <v>7</v>
      </c>
    </row>
    <row r="1036" spans="1:8" x14ac:dyDescent="0.25">
      <c r="A1036">
        <v>258</v>
      </c>
      <c r="B1036" t="s">
        <v>107</v>
      </c>
      <c r="C1036">
        <v>2017</v>
      </c>
      <c r="F1036" s="13">
        <v>2007</v>
      </c>
      <c r="G1036" t="str">
        <f>VLOOKUP(F1036,'Liste Formations'!$A$5:$B$182,2,FALSE)</f>
        <v>ERP DIVALTO</v>
      </c>
      <c r="H1036">
        <v>21</v>
      </c>
    </row>
    <row r="1037" spans="1:8" x14ac:dyDescent="0.25">
      <c r="A1037">
        <v>258</v>
      </c>
      <c r="B1037" t="s">
        <v>107</v>
      </c>
      <c r="C1037">
        <v>2018</v>
      </c>
      <c r="F1037" s="13">
        <v>1021</v>
      </c>
      <c r="G1037" t="str">
        <f>VLOOKUP(F1037,'Liste Formations'!$A$5:$B$182,2,FALSE)</f>
        <v>Gestion du stress</v>
      </c>
      <c r="H1037">
        <v>4</v>
      </c>
    </row>
    <row r="1038" spans="1:8" x14ac:dyDescent="0.25">
      <c r="A1038">
        <v>258</v>
      </c>
      <c r="B1038" t="s">
        <v>107</v>
      </c>
      <c r="C1038">
        <v>2019</v>
      </c>
      <c r="F1038" s="13">
        <v>2007</v>
      </c>
      <c r="G1038" t="str">
        <f>VLOOKUP(F1038,'Liste Formations'!$A$5:$B$182,2,FALSE)</f>
        <v>ERP DIVALTO</v>
      </c>
      <c r="H1038">
        <v>14</v>
      </c>
    </row>
    <row r="1039" spans="1:8" x14ac:dyDescent="0.25">
      <c r="A1039">
        <v>258</v>
      </c>
      <c r="B1039" t="s">
        <v>107</v>
      </c>
      <c r="C1039">
        <v>2019</v>
      </c>
      <c r="F1039" s="13">
        <v>2021</v>
      </c>
      <c r="G1039" t="str">
        <f>VLOOKUP(F1039,'Liste Formations'!$A$5:$B$182,2,FALSE)</f>
        <v>ENTERPRISE / ALPHA TECHNOLOGIE</v>
      </c>
      <c r="H1039">
        <v>7</v>
      </c>
    </row>
    <row r="1040" spans="1:8" x14ac:dyDescent="0.25">
      <c r="A1040">
        <v>258</v>
      </c>
      <c r="B1040" t="s">
        <v>107</v>
      </c>
      <c r="C1040">
        <v>2019</v>
      </c>
      <c r="F1040" s="13">
        <v>1009</v>
      </c>
      <c r="G1040" t="str">
        <f>VLOOKUP(F1040,'Liste Formations'!$A$5:$B$182,2,FALSE)</f>
        <v>Défibrillateur</v>
      </c>
      <c r="H1040">
        <v>3</v>
      </c>
    </row>
    <row r="1041" spans="1:8" x14ac:dyDescent="0.25">
      <c r="A1041">
        <v>258</v>
      </c>
      <c r="B1041" t="s">
        <v>107</v>
      </c>
      <c r="C1041">
        <v>2019</v>
      </c>
      <c r="F1041" s="13">
        <v>1010</v>
      </c>
      <c r="G1041" t="str">
        <f>VLOOKUP(F1041,'Liste Formations'!$A$5:$B$182,2,FALSE)</f>
        <v>Incendie</v>
      </c>
      <c r="H1041">
        <v>4</v>
      </c>
    </row>
    <row r="1042" spans="1:8" x14ac:dyDescent="0.25">
      <c r="A1042">
        <v>258</v>
      </c>
      <c r="B1042" t="s">
        <v>107</v>
      </c>
      <c r="C1042">
        <v>2023</v>
      </c>
      <c r="F1042" s="13">
        <v>2040</v>
      </c>
      <c r="G1042" t="str">
        <f>VLOOKUP(F1042,'Liste Formations'!$A$5:$B$182,2,FALSE)</f>
        <v xml:space="preserve">Anglais </v>
      </c>
      <c r="H1042">
        <v>16.5</v>
      </c>
    </row>
    <row r="1043" spans="1:8" x14ac:dyDescent="0.25">
      <c r="A1043">
        <v>258</v>
      </c>
      <c r="B1043" t="s">
        <v>107</v>
      </c>
      <c r="C1043">
        <v>2024</v>
      </c>
      <c r="F1043" s="13">
        <v>2040</v>
      </c>
      <c r="G1043" t="str">
        <f>VLOOKUP(F1043,'Liste Formations'!$A$5:$B$182,2,FALSE)</f>
        <v xml:space="preserve">Anglais </v>
      </c>
      <c r="H1043">
        <v>13.5</v>
      </c>
    </row>
    <row r="1046" spans="1:8" x14ac:dyDescent="0.25">
      <c r="A1046">
        <v>84</v>
      </c>
      <c r="B1046" t="s">
        <v>109</v>
      </c>
      <c r="C1046">
        <v>2010</v>
      </c>
      <c r="F1046" s="13">
        <v>2013</v>
      </c>
      <c r="G1046" t="str">
        <f>VLOOKUP(F1046,'Liste Formations'!$A$5:$B$182,2,FALSE)</f>
        <v>Auditeur interne ISO 9001/IATF</v>
      </c>
      <c r="H1046">
        <v>3.5</v>
      </c>
    </row>
    <row r="1047" spans="1:8" x14ac:dyDescent="0.25">
      <c r="A1047">
        <v>84</v>
      </c>
      <c r="B1047" t="s">
        <v>109</v>
      </c>
      <c r="C1047">
        <v>2011</v>
      </c>
      <c r="F1047" s="13">
        <v>2001</v>
      </c>
      <c r="G1047" t="str">
        <f>VLOOKUP(F1047,'Liste Formations'!$A$5:$B$182,2,FALSE)</f>
        <v>IFOCA le mélangeage</v>
      </c>
      <c r="H1047">
        <v>7</v>
      </c>
    </row>
    <row r="1048" spans="1:8" x14ac:dyDescent="0.25">
      <c r="A1048">
        <v>84</v>
      </c>
      <c r="B1048" t="s">
        <v>109</v>
      </c>
      <c r="C1048">
        <v>2013</v>
      </c>
      <c r="F1048" s="13">
        <v>2014</v>
      </c>
      <c r="G1048" t="str">
        <f>VLOOKUP(F1048,'Liste Formations'!$A$5:$B$182,2,FALSE)</f>
        <v>Gestion Projet + ISO T.S.</v>
      </c>
      <c r="H1048">
        <v>7</v>
      </c>
    </row>
    <row r="1049" spans="1:8" x14ac:dyDescent="0.25">
      <c r="A1049">
        <v>84</v>
      </c>
      <c r="B1049" t="s">
        <v>109</v>
      </c>
      <c r="C1049">
        <v>2014</v>
      </c>
      <c r="F1049" s="13">
        <v>2014</v>
      </c>
      <c r="G1049" t="str">
        <f>VLOOKUP(F1049,'Liste Formations'!$A$5:$B$182,2,FALSE)</f>
        <v>Gestion Projet + ISO T.S.</v>
      </c>
      <c r="H1049">
        <v>7</v>
      </c>
    </row>
    <row r="1050" spans="1:8" x14ac:dyDescent="0.25">
      <c r="A1050">
        <v>84</v>
      </c>
      <c r="B1050" t="s">
        <v>109</v>
      </c>
      <c r="C1050">
        <v>2015</v>
      </c>
      <c r="F1050" s="13">
        <v>2026</v>
      </c>
      <c r="G1050" t="str">
        <f>VLOOKUP(F1050,'Liste Formations'!$A$5:$B$182,2,FALSE)</f>
        <v>ADVISE</v>
      </c>
      <c r="H1050">
        <v>7</v>
      </c>
    </row>
    <row r="1051" spans="1:8" x14ac:dyDescent="0.25">
      <c r="A1051">
        <v>84</v>
      </c>
      <c r="B1051" t="s">
        <v>109</v>
      </c>
      <c r="C1051">
        <v>2015</v>
      </c>
      <c r="F1051" s="13">
        <v>2030</v>
      </c>
      <c r="G1051" t="str">
        <f>VLOOKUP(F1051,'Liste Formations'!$A$5:$B$182,2,FALSE)</f>
        <v>AMDEC</v>
      </c>
      <c r="H1051">
        <v>21</v>
      </c>
    </row>
    <row r="1052" spans="1:8" x14ac:dyDescent="0.25">
      <c r="A1052">
        <v>84</v>
      </c>
      <c r="B1052" t="s">
        <v>109</v>
      </c>
      <c r="C1052">
        <v>2015</v>
      </c>
      <c r="F1052" s="13">
        <v>2041</v>
      </c>
      <c r="G1052" t="str">
        <f>VLOOKUP(F1052,'Liste Formations'!$A$5:$B$182,2,FALSE)</f>
        <v>Excel</v>
      </c>
      <c r="H1052">
        <v>24</v>
      </c>
    </row>
    <row r="1053" spans="1:8" x14ac:dyDescent="0.25">
      <c r="A1053">
        <v>84</v>
      </c>
      <c r="B1053" t="s">
        <v>109</v>
      </c>
      <c r="C1053">
        <v>2015</v>
      </c>
      <c r="F1053" s="13">
        <v>2042</v>
      </c>
      <c r="G1053" t="str">
        <f>VLOOKUP(F1053,'Liste Formations'!$A$5:$B$182,2,FALSE)</f>
        <v>WORD</v>
      </c>
      <c r="H1053">
        <v>7</v>
      </c>
    </row>
    <row r="1054" spans="1:8" x14ac:dyDescent="0.25">
      <c r="A1054">
        <v>84</v>
      </c>
      <c r="B1054" t="s">
        <v>109</v>
      </c>
      <c r="C1054">
        <v>2016</v>
      </c>
      <c r="F1054" s="13">
        <v>2007</v>
      </c>
      <c r="G1054" t="str">
        <f>VLOOKUP(F1054,'Liste Formations'!$A$5:$B$182,2,FALSE)</f>
        <v>ERP DIVALTO</v>
      </c>
      <c r="H1054">
        <v>42</v>
      </c>
    </row>
    <row r="1055" spans="1:8" x14ac:dyDescent="0.25">
      <c r="A1055">
        <v>84</v>
      </c>
      <c r="B1055" t="s">
        <v>109</v>
      </c>
      <c r="C1055">
        <v>2017</v>
      </c>
      <c r="F1055" s="13">
        <v>2007</v>
      </c>
      <c r="G1055" t="str">
        <f>VLOOKUP(F1055,'Liste Formations'!$A$5:$B$182,2,FALSE)</f>
        <v>ERP DIVALTO</v>
      </c>
      <c r="H1055">
        <v>3.5</v>
      </c>
    </row>
    <row r="1056" spans="1:8" x14ac:dyDescent="0.25">
      <c r="A1056">
        <v>84</v>
      </c>
      <c r="B1056" t="s">
        <v>109</v>
      </c>
      <c r="C1056">
        <v>2018</v>
      </c>
      <c r="F1056" s="13">
        <v>2007</v>
      </c>
      <c r="G1056" t="str">
        <f>VLOOKUP(F1056,'Liste Formations'!$A$5:$B$182,2,FALSE)</f>
        <v>ERP DIVALTO</v>
      </c>
      <c r="H1056">
        <v>7</v>
      </c>
    </row>
    <row r="1057" spans="1:9" x14ac:dyDescent="0.25">
      <c r="A1057">
        <v>84</v>
      </c>
      <c r="B1057" t="s">
        <v>109</v>
      </c>
      <c r="C1057">
        <v>2018</v>
      </c>
      <c r="F1057" s="13">
        <v>2013</v>
      </c>
      <c r="G1057" t="str">
        <f>VLOOKUP(F1057,'Liste Formations'!$A$5:$B$182,2,FALSE)</f>
        <v>Auditeur interne ISO 9001/IATF</v>
      </c>
      <c r="H1057">
        <v>2</v>
      </c>
    </row>
    <row r="1058" spans="1:9" x14ac:dyDescent="0.25">
      <c r="A1058">
        <v>84</v>
      </c>
      <c r="B1058" t="s">
        <v>109</v>
      </c>
      <c r="C1058">
        <v>2019</v>
      </c>
      <c r="F1058" s="13">
        <v>2021</v>
      </c>
      <c r="G1058" t="str">
        <f>VLOOKUP(F1058,'Liste Formations'!$A$5:$B$182,2,FALSE)</f>
        <v>ENTERPRISE / ALPHA TECHNOLOGIE</v>
      </c>
      <c r="H1058">
        <v>7</v>
      </c>
    </row>
    <row r="1059" spans="1:9" x14ac:dyDescent="0.25">
      <c r="A1059">
        <v>84</v>
      </c>
      <c r="B1059" t="s">
        <v>109</v>
      </c>
      <c r="C1059">
        <v>2023</v>
      </c>
      <c r="F1059" s="13">
        <v>2029</v>
      </c>
      <c r="G1059" t="str">
        <f>VLOOKUP(F1059,'Liste Formations'!$A$5:$B$182,2,FALSE)</f>
        <v>CORE
TOOLS</v>
      </c>
      <c r="H1059">
        <v>35</v>
      </c>
    </row>
    <row r="1060" spans="1:9" x14ac:dyDescent="0.25">
      <c r="A1060">
        <v>84</v>
      </c>
      <c r="B1060" t="s">
        <v>109</v>
      </c>
      <c r="C1060">
        <v>2023</v>
      </c>
      <c r="F1060" s="13">
        <v>2030</v>
      </c>
      <c r="G1060" t="str">
        <f>VLOOKUP(F1060,'Liste Formations'!$A$5:$B$182,2,FALSE)</f>
        <v>AMDEC</v>
      </c>
      <c r="H1060">
        <v>14</v>
      </c>
    </row>
    <row r="1061" spans="1:9" x14ac:dyDescent="0.25">
      <c r="A1061">
        <v>84</v>
      </c>
      <c r="B1061" t="s">
        <v>109</v>
      </c>
      <c r="C1061">
        <v>2024</v>
      </c>
      <c r="F1061" s="13">
        <v>2015</v>
      </c>
      <c r="G1061" t="str">
        <f>VLOOKUP(F1061,'Liste Formations'!$A$5:$B$182,2,FALSE)</f>
        <v>Auditeur Produit</v>
      </c>
      <c r="H1061">
        <v>7</v>
      </c>
    </row>
    <row r="1062" spans="1:9" x14ac:dyDescent="0.25">
      <c r="A1062">
        <v>84</v>
      </c>
      <c r="B1062" t="s">
        <v>109</v>
      </c>
      <c r="C1062">
        <v>2024</v>
      </c>
      <c r="F1062" s="13">
        <v>2016</v>
      </c>
      <c r="G1062" t="str">
        <f>VLOOKUP(F1062,'Liste Formations'!$A$5:$B$182,2,FALSE)</f>
        <v>Auditeurs de processus</v>
      </c>
      <c r="H1062">
        <v>28</v>
      </c>
    </row>
    <row r="1063" spans="1:9" x14ac:dyDescent="0.25">
      <c r="A1063">
        <v>84</v>
      </c>
      <c r="B1063" t="s">
        <v>109</v>
      </c>
      <c r="C1063">
        <v>2024</v>
      </c>
      <c r="F1063" s="13">
        <v>2020</v>
      </c>
      <c r="G1063" t="str">
        <f>VLOOKUP(F1063,'Liste Formations'!$A$5:$B$182,2,FALSE)</f>
        <v>Utilisation CHEMKER</v>
      </c>
      <c r="H1063">
        <v>1.5</v>
      </c>
    </row>
    <row r="1064" spans="1:9" x14ac:dyDescent="0.25">
      <c r="A1064">
        <v>84</v>
      </c>
      <c r="B1064" t="s">
        <v>109</v>
      </c>
      <c r="C1064">
        <v>2025</v>
      </c>
      <c r="D1064" s="18">
        <v>45695</v>
      </c>
      <c r="E1064" s="18">
        <v>45695</v>
      </c>
      <c r="F1064" s="13">
        <v>2050</v>
      </c>
      <c r="G1064" t="str">
        <f>VLOOKUP(F1064,'Liste Formations'!$A$5:$B$182,2,FALSE)</f>
        <v>Audit Process VDA point 6.2.1</v>
      </c>
      <c r="H1064" s="75">
        <v>1</v>
      </c>
      <c r="I1064" t="s">
        <v>310</v>
      </c>
    </row>
    <row r="1066" spans="1:9" x14ac:dyDescent="0.25">
      <c r="B1066" s="76" t="s">
        <v>273</v>
      </c>
      <c r="C1066">
        <v>2025</v>
      </c>
      <c r="D1066" s="18">
        <v>45684</v>
      </c>
      <c r="E1066" s="18">
        <v>45684</v>
      </c>
      <c r="F1066" s="13">
        <v>2049</v>
      </c>
      <c r="G1066" t="str">
        <f>VLOOKUP(F1066,'Liste Formations'!$A$5:$B$182,2,FALSE)</f>
        <v>Revue plan d'urgence et Revue analyse PIEU</v>
      </c>
      <c r="H1066" s="75">
        <v>0.5</v>
      </c>
      <c r="I1066" t="s">
        <v>309</v>
      </c>
    </row>
    <row r="1068" spans="1:9" x14ac:dyDescent="0.25">
      <c r="A1068">
        <v>225</v>
      </c>
      <c r="B1068" t="s">
        <v>110</v>
      </c>
      <c r="C1068">
        <v>2010</v>
      </c>
      <c r="F1068" s="13">
        <v>2025</v>
      </c>
      <c r="G1068" t="str">
        <f>VLOOKUP(F1068,'Liste Formations'!$A$5:$B$182,2,FALSE)</f>
        <v>Contrôleur laboratoire</v>
      </c>
      <c r="H1068">
        <v>70</v>
      </c>
    </row>
    <row r="1069" spans="1:9" x14ac:dyDescent="0.25">
      <c r="A1069">
        <v>225</v>
      </c>
      <c r="B1069" t="s">
        <v>110</v>
      </c>
      <c r="C1069">
        <v>2017</v>
      </c>
      <c r="F1069" s="13">
        <v>2007</v>
      </c>
      <c r="G1069" t="str">
        <f>VLOOKUP(F1069,'Liste Formations'!$A$5:$B$182,2,FALSE)</f>
        <v>ERP DIVALTO</v>
      </c>
      <c r="H1069">
        <v>7</v>
      </c>
    </row>
    <row r="1070" spans="1:9" x14ac:dyDescent="0.25">
      <c r="A1070">
        <v>225</v>
      </c>
      <c r="B1070" t="s">
        <v>110</v>
      </c>
      <c r="C1070">
        <v>2017</v>
      </c>
      <c r="F1070" s="13">
        <v>2041</v>
      </c>
      <c r="G1070" t="str">
        <f>VLOOKUP(F1070,'Liste Formations'!$A$5:$B$182,2,FALSE)</f>
        <v>Excel</v>
      </c>
      <c r="H1070">
        <v>7</v>
      </c>
    </row>
    <row r="1071" spans="1:9" x14ac:dyDescent="0.25">
      <c r="A1071">
        <v>225</v>
      </c>
      <c r="B1071" t="s">
        <v>110</v>
      </c>
      <c r="C1071">
        <v>2019</v>
      </c>
      <c r="F1071" s="13">
        <v>2021</v>
      </c>
      <c r="G1071" t="str">
        <f>VLOOKUP(F1071,'Liste Formations'!$A$5:$B$182,2,FALSE)</f>
        <v>ENTERPRISE / ALPHA TECHNOLOGIE</v>
      </c>
      <c r="H1071">
        <v>3</v>
      </c>
    </row>
    <row r="1072" spans="1:9" x14ac:dyDescent="0.25">
      <c r="A1072">
        <v>225</v>
      </c>
      <c r="B1072" t="s">
        <v>110</v>
      </c>
      <c r="C1072">
        <v>2023</v>
      </c>
      <c r="F1072" s="13">
        <v>1009</v>
      </c>
      <c r="G1072" t="str">
        <f>VLOOKUP(F1072,'Liste Formations'!$A$5:$B$182,2,FALSE)</f>
        <v>Défibrillateur</v>
      </c>
      <c r="H1072">
        <v>2</v>
      </c>
    </row>
    <row r="1073" spans="1:9" x14ac:dyDescent="0.25">
      <c r="A1073">
        <v>225</v>
      </c>
      <c r="B1073" t="s">
        <v>110</v>
      </c>
      <c r="C1073">
        <v>2023</v>
      </c>
      <c r="F1073" s="13">
        <v>1010</v>
      </c>
      <c r="G1073" t="str">
        <f>VLOOKUP(F1073,'Liste Formations'!$A$5:$B$182,2,FALSE)</f>
        <v>Incendie</v>
      </c>
      <c r="H1073">
        <v>2</v>
      </c>
    </row>
    <row r="1075" spans="1:9" x14ac:dyDescent="0.25">
      <c r="A1075">
        <v>437</v>
      </c>
      <c r="B1075" t="s">
        <v>111</v>
      </c>
      <c r="C1075">
        <v>2023</v>
      </c>
      <c r="F1075" s="13">
        <v>1009</v>
      </c>
      <c r="G1075" t="str">
        <f>VLOOKUP(F1075,'Liste Formations'!$A$5:$B$182,2,FALSE)</f>
        <v>Défibrillateur</v>
      </c>
      <c r="H1075">
        <v>2</v>
      </c>
    </row>
    <row r="1076" spans="1:9" x14ac:dyDescent="0.25">
      <c r="A1076">
        <v>437</v>
      </c>
      <c r="B1076" t="s">
        <v>111</v>
      </c>
      <c r="C1076">
        <v>2023</v>
      </c>
      <c r="F1076" s="13">
        <v>1010</v>
      </c>
      <c r="G1076" t="str">
        <f>VLOOKUP(F1076,'Liste Formations'!$A$5:$B$182,2,FALSE)</f>
        <v>Incendie</v>
      </c>
      <c r="H1076">
        <v>2</v>
      </c>
    </row>
    <row r="1077" spans="1:9" x14ac:dyDescent="0.25">
      <c r="A1077">
        <v>437</v>
      </c>
      <c r="B1077" t="s">
        <v>111</v>
      </c>
      <c r="C1077">
        <v>2023</v>
      </c>
      <c r="F1077" s="13">
        <v>1014</v>
      </c>
      <c r="G1077" t="str">
        <f>VLOOKUP(F1077,'Liste Formations'!$A$5:$B$182,2,FALSE)</f>
        <v>Membres CSE</v>
      </c>
      <c r="H1077">
        <v>35</v>
      </c>
    </row>
    <row r="1078" spans="1:9" x14ac:dyDescent="0.25">
      <c r="A1078">
        <v>437</v>
      </c>
      <c r="B1078" t="s">
        <v>111</v>
      </c>
      <c r="C1078">
        <v>2023</v>
      </c>
      <c r="F1078" s="13">
        <v>1016</v>
      </c>
      <c r="G1078" t="str">
        <f>VLOOKUP(F1078,'Liste Formations'!$A$5:$B$182,2,FALSE)</f>
        <v>S.S.T. Sauveteurs Secourites du Travail</v>
      </c>
      <c r="H1078">
        <v>14</v>
      </c>
    </row>
    <row r="1079" spans="1:9" x14ac:dyDescent="0.25">
      <c r="A1079">
        <v>437</v>
      </c>
      <c r="B1079" t="s">
        <v>111</v>
      </c>
      <c r="C1079">
        <v>2023</v>
      </c>
      <c r="F1079" s="13">
        <v>2040</v>
      </c>
      <c r="G1079" t="str">
        <f>VLOOKUP(F1079,'Liste Formations'!$A$5:$B$182,2,FALSE)</f>
        <v xml:space="preserve">Anglais </v>
      </c>
      <c r="H1079">
        <v>21</v>
      </c>
    </row>
    <row r="1080" spans="1:9" x14ac:dyDescent="0.25">
      <c r="A1080">
        <v>437</v>
      </c>
      <c r="B1080" t="s">
        <v>111</v>
      </c>
      <c r="C1080">
        <v>2024</v>
      </c>
      <c r="F1080" s="13">
        <v>1032</v>
      </c>
      <c r="G1080" t="str">
        <f>VLOOKUP(F1080,'Liste Formations'!$A$5:$B$182,2,FALSE)</f>
        <v>Sensibilisation RPS Risques Psychosociaux</v>
      </c>
      <c r="H1080">
        <v>2</v>
      </c>
    </row>
    <row r="1081" spans="1:9" x14ac:dyDescent="0.25">
      <c r="A1081">
        <v>437</v>
      </c>
      <c r="B1081" t="s">
        <v>111</v>
      </c>
      <c r="C1081">
        <v>2024</v>
      </c>
      <c r="F1081" s="13">
        <v>1033</v>
      </c>
      <c r="G1081" t="s">
        <v>248</v>
      </c>
      <c r="H1081">
        <v>1.5</v>
      </c>
    </row>
    <row r="1082" spans="1:9" x14ac:dyDescent="0.25">
      <c r="A1082">
        <v>437</v>
      </c>
      <c r="B1082" t="s">
        <v>111</v>
      </c>
      <c r="C1082">
        <v>2024</v>
      </c>
      <c r="F1082" s="13">
        <v>2040</v>
      </c>
      <c r="G1082" s="15" t="s">
        <v>183</v>
      </c>
      <c r="H1082">
        <v>9</v>
      </c>
    </row>
    <row r="1083" spans="1:9" x14ac:dyDescent="0.25">
      <c r="A1083">
        <v>437</v>
      </c>
      <c r="B1083" t="s">
        <v>111</v>
      </c>
      <c r="C1083">
        <v>2024</v>
      </c>
      <c r="F1083" s="13">
        <v>2041</v>
      </c>
      <c r="G1083" s="15" t="s">
        <v>181</v>
      </c>
      <c r="H1083">
        <v>14</v>
      </c>
    </row>
    <row r="1084" spans="1:9" x14ac:dyDescent="0.25">
      <c r="A1084">
        <v>437</v>
      </c>
      <c r="B1084" t="s">
        <v>111</v>
      </c>
      <c r="C1084">
        <v>2024</v>
      </c>
      <c r="F1084" s="13">
        <v>2031</v>
      </c>
      <c r="G1084" s="15" t="s">
        <v>180</v>
      </c>
      <c r="H1084">
        <v>2</v>
      </c>
    </row>
    <row r="1085" spans="1:9" x14ac:dyDescent="0.25">
      <c r="A1085">
        <v>437</v>
      </c>
      <c r="B1085" t="s">
        <v>111</v>
      </c>
      <c r="C1085">
        <v>2025</v>
      </c>
      <c r="D1085" s="18">
        <v>45926</v>
      </c>
      <c r="E1085" s="18">
        <v>45926</v>
      </c>
      <c r="F1085" s="13">
        <v>1017</v>
      </c>
      <c r="G1085" t="s">
        <v>303</v>
      </c>
      <c r="H1085">
        <v>7</v>
      </c>
      <c r="I1085" t="s">
        <v>314</v>
      </c>
    </row>
    <row r="1088" spans="1:9" x14ac:dyDescent="0.25">
      <c r="A1088">
        <v>10000040</v>
      </c>
      <c r="B1088" t="s">
        <v>317</v>
      </c>
      <c r="C1088">
        <v>2025</v>
      </c>
      <c r="D1088" s="18">
        <v>45922</v>
      </c>
      <c r="E1088" s="18">
        <v>45952</v>
      </c>
      <c r="F1088" s="13">
        <v>3042</v>
      </c>
      <c r="G1088" s="15" t="s">
        <v>52</v>
      </c>
      <c r="H1088" s="73">
        <v>70</v>
      </c>
    </row>
    <row r="1090" spans="1:8" x14ac:dyDescent="0.25">
      <c r="A1090">
        <v>10000047</v>
      </c>
      <c r="B1090" t="s">
        <v>321</v>
      </c>
      <c r="C1090">
        <v>2026</v>
      </c>
      <c r="D1090" s="18">
        <v>46006</v>
      </c>
      <c r="E1090" s="18">
        <v>46034</v>
      </c>
      <c r="F1090" s="13">
        <v>3002</v>
      </c>
      <c r="G1090" s="15" t="s">
        <v>24</v>
      </c>
      <c r="H1090" s="73">
        <v>105</v>
      </c>
    </row>
    <row r="1091" spans="1:8" x14ac:dyDescent="0.25">
      <c r="A1091">
        <v>10000047</v>
      </c>
      <c r="B1091" t="s">
        <v>321</v>
      </c>
      <c r="C1091">
        <v>2026</v>
      </c>
      <c r="D1091" s="18">
        <v>46006</v>
      </c>
      <c r="E1091" s="18">
        <v>46034</v>
      </c>
      <c r="F1091" s="13">
        <v>3006</v>
      </c>
      <c r="G1091" s="15" t="s">
        <v>25</v>
      </c>
      <c r="H1091" s="73">
        <v>35</v>
      </c>
    </row>
    <row r="1093" spans="1:8" x14ac:dyDescent="0.25">
      <c r="A1093">
        <v>445</v>
      </c>
      <c r="B1093" t="s">
        <v>112</v>
      </c>
      <c r="C1093">
        <v>2022</v>
      </c>
      <c r="F1093" s="13">
        <v>1004</v>
      </c>
      <c r="G1093" t="str">
        <f>VLOOKUP(F1093,'Liste Formations'!$A$5:$B$182,2,FALSE)</f>
        <v>Conduite Chariots Cat.3</v>
      </c>
      <c r="H1093">
        <v>7</v>
      </c>
    </row>
    <row r="1094" spans="1:8" x14ac:dyDescent="0.25">
      <c r="A1094">
        <v>445</v>
      </c>
      <c r="B1094" t="s">
        <v>112</v>
      </c>
      <c r="C1094">
        <v>2022</v>
      </c>
      <c r="F1094" s="13">
        <v>3014</v>
      </c>
      <c r="G1094" t="str">
        <f>VLOOKUP(F1094,'Liste Formations'!$A$5:$B$182,2,FALSE)</f>
        <v>Poste 902</v>
      </c>
      <c r="H1094">
        <v>221.67</v>
      </c>
    </row>
    <row r="1095" spans="1:8" x14ac:dyDescent="0.25">
      <c r="A1095">
        <v>445</v>
      </c>
      <c r="B1095" t="s">
        <v>112</v>
      </c>
      <c r="C1095">
        <v>2022</v>
      </c>
      <c r="F1095" s="13">
        <v>3014</v>
      </c>
      <c r="G1095" t="str">
        <f>VLOOKUP(F1095,'Liste Formations'!$A$5:$B$182,2,FALSE)</f>
        <v>Poste 902</v>
      </c>
      <c r="H1095">
        <v>151.66999999999999</v>
      </c>
    </row>
    <row r="1096" spans="1:8" x14ac:dyDescent="0.25">
      <c r="A1096">
        <v>445</v>
      </c>
      <c r="B1096" t="s">
        <v>112</v>
      </c>
      <c r="C1096">
        <v>2022</v>
      </c>
      <c r="F1096" s="13">
        <v>3018</v>
      </c>
      <c r="G1096" t="str">
        <f>VLOOKUP(F1096,'Liste Formations'!$A$5:$B$182,2,FALSE)</f>
        <v>Poste 906</v>
      </c>
      <c r="H1096">
        <v>151.66999999999999</v>
      </c>
    </row>
    <row r="1097" spans="1:8" x14ac:dyDescent="0.25">
      <c r="A1097">
        <v>445</v>
      </c>
      <c r="B1097" t="s">
        <v>112</v>
      </c>
      <c r="C1097">
        <v>2022</v>
      </c>
      <c r="F1097" s="13">
        <v>3026</v>
      </c>
      <c r="G1097" t="str">
        <f>VLOOKUP(F1097,'Liste Formations'!$A$5:$B$182,2,FALSE)</f>
        <v>Poste 940</v>
      </c>
      <c r="H1097">
        <v>151.66999999999999</v>
      </c>
    </row>
    <row r="1098" spans="1:8" x14ac:dyDescent="0.25">
      <c r="A1098">
        <v>445</v>
      </c>
      <c r="B1098" t="s">
        <v>112</v>
      </c>
      <c r="C1098">
        <v>2023</v>
      </c>
      <c r="F1098" s="13">
        <v>1002</v>
      </c>
      <c r="G1098" t="str">
        <f>VLOOKUP(F1098,'Liste Formations'!$A$5:$B$182,2,FALSE)</f>
        <v>Conduite Chariots Cat.3 et Cat.5</v>
      </c>
      <c r="H1098">
        <v>14</v>
      </c>
    </row>
    <row r="1099" spans="1:8" x14ac:dyDescent="0.25">
      <c r="A1099">
        <v>445</v>
      </c>
      <c r="B1099" t="s">
        <v>112</v>
      </c>
      <c r="C1099">
        <v>2023</v>
      </c>
      <c r="F1099" s="13">
        <v>1009</v>
      </c>
      <c r="G1099" t="str">
        <f>VLOOKUP(F1099,'Liste Formations'!$A$5:$B$182,2,FALSE)</f>
        <v>Défibrillateur</v>
      </c>
      <c r="H1099">
        <v>2</v>
      </c>
    </row>
    <row r="1100" spans="1:8" x14ac:dyDescent="0.25">
      <c r="A1100">
        <v>445</v>
      </c>
      <c r="B1100" t="s">
        <v>112</v>
      </c>
      <c r="C1100">
        <v>2023</v>
      </c>
      <c r="F1100" s="13">
        <v>1010</v>
      </c>
      <c r="G1100" t="str">
        <f>VLOOKUP(F1100,'Liste Formations'!$A$5:$B$182,2,FALSE)</f>
        <v>Incendie</v>
      </c>
      <c r="H1100">
        <v>2</v>
      </c>
    </row>
    <row r="1101" spans="1:8" x14ac:dyDescent="0.25">
      <c r="A1101">
        <v>445</v>
      </c>
      <c r="B1101" t="s">
        <v>112</v>
      </c>
      <c r="C1101">
        <v>2023</v>
      </c>
      <c r="F1101" s="13">
        <v>3024</v>
      </c>
      <c r="G1101" t="str">
        <f>VLOOKUP(F1101,'Liste Formations'!$A$5:$B$182,2,FALSE)</f>
        <v>Poste 924</v>
      </c>
      <c r="H1101">
        <v>151.66999999999999</v>
      </c>
    </row>
    <row r="1102" spans="1:8" x14ac:dyDescent="0.25">
      <c r="A1102">
        <v>445</v>
      </c>
      <c r="B1102" t="s">
        <v>112</v>
      </c>
      <c r="C1102">
        <v>2023</v>
      </c>
      <c r="F1102" s="13">
        <v>3027</v>
      </c>
      <c r="G1102" t="str">
        <f>VLOOKUP(F1102,'Liste Formations'!$A$5:$B$182,2,FALSE)</f>
        <v>Poste 941</v>
      </c>
      <c r="H1102">
        <v>151.66999999999999</v>
      </c>
    </row>
    <row r="1103" spans="1:8" x14ac:dyDescent="0.25">
      <c r="A1103">
        <v>445</v>
      </c>
      <c r="B1103" t="s">
        <v>112</v>
      </c>
      <c r="C1103">
        <v>2024</v>
      </c>
      <c r="F1103" s="13">
        <v>1009</v>
      </c>
      <c r="G1103" t="s">
        <v>221</v>
      </c>
      <c r="H1103">
        <v>2</v>
      </c>
    </row>
    <row r="1104" spans="1:8" x14ac:dyDescent="0.25">
      <c r="A1104">
        <v>445</v>
      </c>
      <c r="B1104" t="s">
        <v>112</v>
      </c>
      <c r="C1104">
        <v>2024</v>
      </c>
      <c r="F1104" s="13">
        <v>1010</v>
      </c>
      <c r="G1104" t="s">
        <v>222</v>
      </c>
      <c r="H1104">
        <v>2</v>
      </c>
    </row>
    <row r="1105" spans="1:9" x14ac:dyDescent="0.25">
      <c r="A1105">
        <v>445</v>
      </c>
      <c r="B1105" t="s">
        <v>112</v>
      </c>
      <c r="C1105">
        <v>2024</v>
      </c>
      <c r="F1105" s="13">
        <v>1020</v>
      </c>
      <c r="G1105" t="s">
        <v>202</v>
      </c>
      <c r="H1105">
        <v>3.5</v>
      </c>
    </row>
    <row r="1106" spans="1:9" x14ac:dyDescent="0.25">
      <c r="A1106">
        <v>445</v>
      </c>
      <c r="B1106" t="s">
        <v>112</v>
      </c>
      <c r="C1106">
        <v>2024</v>
      </c>
      <c r="F1106" s="13">
        <v>3037</v>
      </c>
      <c r="G1106" s="15" t="s">
        <v>29</v>
      </c>
      <c r="H1106" s="73">
        <v>35</v>
      </c>
    </row>
    <row r="1107" spans="1:9" x14ac:dyDescent="0.25">
      <c r="A1107">
        <v>445</v>
      </c>
      <c r="B1107" t="s">
        <v>112</v>
      </c>
      <c r="C1107">
        <v>2024</v>
      </c>
      <c r="F1107" s="13">
        <v>3012</v>
      </c>
      <c r="G1107" s="15" t="s">
        <v>38</v>
      </c>
      <c r="H1107" s="73">
        <v>70</v>
      </c>
    </row>
    <row r="1108" spans="1:9" x14ac:dyDescent="0.25">
      <c r="A1108">
        <v>445</v>
      </c>
      <c r="B1108" t="s">
        <v>112</v>
      </c>
      <c r="C1108">
        <v>2024</v>
      </c>
      <c r="D1108" s="18">
        <v>45630</v>
      </c>
      <c r="E1108" s="18">
        <v>45631</v>
      </c>
      <c r="F1108" s="13">
        <v>1006</v>
      </c>
      <c r="G1108" t="str">
        <f>VLOOKUP(F1108,'Liste Formations'!$A$5:$B$182,2,FALSE)</f>
        <v>Habilitation électrique BE Manœuvre BS</v>
      </c>
      <c r="H1108">
        <v>14</v>
      </c>
    </row>
    <row r="1109" spans="1:9" x14ac:dyDescent="0.25">
      <c r="A1109">
        <v>445</v>
      </c>
      <c r="B1109" t="s">
        <v>112</v>
      </c>
      <c r="C1109">
        <v>2025</v>
      </c>
      <c r="D1109" s="18">
        <v>45723</v>
      </c>
      <c r="E1109" s="18">
        <v>45754</v>
      </c>
      <c r="F1109" s="13">
        <v>3008</v>
      </c>
      <c r="G1109" s="15" t="s">
        <v>33</v>
      </c>
      <c r="H1109" s="75">
        <v>35</v>
      </c>
      <c r="I1109" t="s">
        <v>308</v>
      </c>
    </row>
    <row r="1110" spans="1:9" x14ac:dyDescent="0.25">
      <c r="A1110">
        <v>445</v>
      </c>
      <c r="B1110" t="s">
        <v>112</v>
      </c>
      <c r="C1110">
        <v>2025</v>
      </c>
      <c r="D1110" s="18">
        <v>45723</v>
      </c>
      <c r="E1110" s="18">
        <v>45754</v>
      </c>
      <c r="F1110" s="66">
        <v>3048</v>
      </c>
      <c r="G1110" s="15" t="s">
        <v>277</v>
      </c>
      <c r="H1110" s="75">
        <v>30</v>
      </c>
      <c r="I1110" t="s">
        <v>308</v>
      </c>
    </row>
    <row r="1111" spans="1:9" x14ac:dyDescent="0.25">
      <c r="A1111">
        <v>445</v>
      </c>
      <c r="B1111" t="s">
        <v>112</v>
      </c>
      <c r="C1111">
        <v>2025</v>
      </c>
      <c r="D1111" s="18">
        <v>45920</v>
      </c>
      <c r="E1111" s="18">
        <v>45951</v>
      </c>
      <c r="F1111" s="13">
        <v>3038</v>
      </c>
      <c r="G1111" s="15" t="s">
        <v>41</v>
      </c>
      <c r="H1111" s="73">
        <v>105</v>
      </c>
      <c r="I1111" t="s">
        <v>308</v>
      </c>
    </row>
    <row r="1112" spans="1:9" x14ac:dyDescent="0.25">
      <c r="D1112" s="18"/>
      <c r="E1112" s="18"/>
      <c r="F1112" s="66"/>
      <c r="G1112" s="15"/>
      <c r="H1112" s="80"/>
    </row>
    <row r="1113" spans="1:9" x14ac:dyDescent="0.25">
      <c r="D1113" s="18"/>
      <c r="E1113" s="18"/>
      <c r="F1113" s="66"/>
      <c r="G1113" s="15"/>
    </row>
    <row r="1114" spans="1:9" x14ac:dyDescent="0.25">
      <c r="A1114">
        <v>485</v>
      </c>
      <c r="B1114" t="s">
        <v>113</v>
      </c>
      <c r="C1114">
        <v>2023</v>
      </c>
      <c r="D1114" s="18"/>
      <c r="E1114" s="18"/>
      <c r="F1114" s="66">
        <v>1012</v>
      </c>
      <c r="G1114" t="str">
        <f>VLOOKUP(F1114,'Liste Formations'!$A$5:$B$182,2,FALSE)</f>
        <v>ATEX Niveau 0 - Sensibilisation</v>
      </c>
      <c r="H1114">
        <v>3.5</v>
      </c>
    </row>
    <row r="1115" spans="1:9" x14ac:dyDescent="0.25">
      <c r="A1115">
        <v>485</v>
      </c>
      <c r="B1115" t="s">
        <v>113</v>
      </c>
      <c r="C1115">
        <v>2023</v>
      </c>
      <c r="D1115" s="18"/>
      <c r="E1115" s="18"/>
      <c r="F1115" s="66">
        <v>1030</v>
      </c>
      <c r="G1115" t="str">
        <f>VLOOKUP(F1115,'Liste Formations'!$A$5:$B$182,2,FALSE)</f>
        <v>Utilisation PTI</v>
      </c>
      <c r="H1115">
        <v>0.5</v>
      </c>
    </row>
    <row r="1116" spans="1:9" x14ac:dyDescent="0.25">
      <c r="A1116">
        <v>485</v>
      </c>
      <c r="B1116" t="s">
        <v>113</v>
      </c>
      <c r="C1116">
        <v>2023</v>
      </c>
      <c r="D1116" s="18"/>
      <c r="E1116" s="18"/>
      <c r="F1116" s="66">
        <v>3043</v>
      </c>
      <c r="G1116" t="str">
        <f>VLOOKUP(F1116,'Liste Formations'!$A$5:$B$182,2,FALSE)</f>
        <v>Poste 1412</v>
      </c>
      <c r="H1116">
        <v>151.66999999999999</v>
      </c>
    </row>
    <row r="1117" spans="1:9" x14ac:dyDescent="0.25">
      <c r="A1117">
        <v>485</v>
      </c>
      <c r="B1117" t="s">
        <v>113</v>
      </c>
      <c r="C1117">
        <v>2024</v>
      </c>
      <c r="D1117" s="18"/>
      <c r="E1117" s="18"/>
      <c r="F1117" s="13">
        <v>1002</v>
      </c>
      <c r="G1117" t="s">
        <v>204</v>
      </c>
      <c r="H1117">
        <v>14</v>
      </c>
    </row>
    <row r="1118" spans="1:9" x14ac:dyDescent="0.25">
      <c r="A1118">
        <v>485</v>
      </c>
      <c r="B1118" t="s">
        <v>113</v>
      </c>
      <c r="C1118">
        <v>2024</v>
      </c>
      <c r="D1118" s="18"/>
      <c r="E1118" s="18"/>
      <c r="F1118" s="13">
        <v>1020</v>
      </c>
      <c r="G1118" t="s">
        <v>202</v>
      </c>
      <c r="H1118">
        <v>3.5</v>
      </c>
    </row>
    <row r="1119" spans="1:9" x14ac:dyDescent="0.25">
      <c r="D1119" s="18"/>
      <c r="E1119" s="18"/>
    </row>
    <row r="1120" spans="1:9" x14ac:dyDescent="0.25">
      <c r="A1120">
        <v>469</v>
      </c>
      <c r="B1120" t="s">
        <v>114</v>
      </c>
      <c r="C1120">
        <v>2023</v>
      </c>
      <c r="D1120" s="18"/>
      <c r="E1120" s="18"/>
      <c r="F1120" s="13">
        <v>1030</v>
      </c>
      <c r="G1120" t="str">
        <f>VLOOKUP(F1120,'Liste Formations'!$A$5:$B$182,2,FALSE)</f>
        <v>Utilisation PTI</v>
      </c>
      <c r="H1120">
        <v>0.5</v>
      </c>
    </row>
    <row r="1121" spans="1:10" x14ac:dyDescent="0.25">
      <c r="A1121">
        <v>469</v>
      </c>
      <c r="B1121" t="s">
        <v>114</v>
      </c>
      <c r="C1121">
        <v>2023</v>
      </c>
      <c r="D1121" s="18"/>
      <c r="E1121" s="18"/>
      <c r="F1121" s="13">
        <v>3025</v>
      </c>
      <c r="G1121" t="str">
        <f>VLOOKUP(F1121,'Liste Formations'!$A$5:$B$182,2,FALSE)</f>
        <v>Poste 930</v>
      </c>
      <c r="H1121">
        <v>151.66999999999999</v>
      </c>
    </row>
    <row r="1122" spans="1:10" x14ac:dyDescent="0.25">
      <c r="A1122">
        <v>469</v>
      </c>
      <c r="B1122" t="s">
        <v>114</v>
      </c>
      <c r="C1122">
        <v>2024</v>
      </c>
      <c r="D1122" s="18"/>
      <c r="E1122" s="18"/>
      <c r="F1122" s="13">
        <v>3037</v>
      </c>
      <c r="G1122" s="15" t="s">
        <v>29</v>
      </c>
      <c r="H1122" s="73">
        <v>35</v>
      </c>
    </row>
    <row r="1123" spans="1:10" x14ac:dyDescent="0.25">
      <c r="D1123" s="18"/>
      <c r="E1123" s="18"/>
      <c r="G1123" s="15"/>
      <c r="H1123" s="73"/>
    </row>
    <row r="1124" spans="1:10" x14ac:dyDescent="0.25">
      <c r="A1124">
        <v>10000044</v>
      </c>
      <c r="B1124" t="s">
        <v>320</v>
      </c>
      <c r="C1124">
        <v>2026</v>
      </c>
      <c r="D1124" s="18">
        <v>45999</v>
      </c>
      <c r="E1124" s="18">
        <v>46034</v>
      </c>
      <c r="F1124" s="13">
        <v>3039</v>
      </c>
      <c r="G1124" s="15" t="s">
        <v>28</v>
      </c>
      <c r="H1124" s="73">
        <v>105</v>
      </c>
      <c r="I1124" t="s">
        <v>308</v>
      </c>
    </row>
    <row r="1125" spans="1:10" x14ac:dyDescent="0.25">
      <c r="A1125">
        <v>10000044</v>
      </c>
      <c r="B1125" t="s">
        <v>320</v>
      </c>
      <c r="C1125">
        <v>2026</v>
      </c>
      <c r="D1125" s="18"/>
      <c r="E1125" s="18">
        <v>46078</v>
      </c>
      <c r="F1125" s="13">
        <v>3039</v>
      </c>
      <c r="G1125" s="15" t="s">
        <v>28</v>
      </c>
      <c r="H1125" s="73">
        <v>105</v>
      </c>
      <c r="I1125" t="s">
        <v>308</v>
      </c>
    </row>
    <row r="1126" spans="1:10" x14ac:dyDescent="0.25">
      <c r="D1126" s="18"/>
      <c r="E1126" s="18"/>
      <c r="G1126" s="15"/>
      <c r="H1126" s="73"/>
    </row>
    <row r="1127" spans="1:10" x14ac:dyDescent="0.25">
      <c r="D1127" s="18"/>
      <c r="E1127" s="18"/>
      <c r="G1127" s="15"/>
      <c r="H1127" s="73"/>
    </row>
    <row r="1128" spans="1:10" x14ac:dyDescent="0.25">
      <c r="A1128">
        <v>484</v>
      </c>
      <c r="B1128" t="s">
        <v>115</v>
      </c>
      <c r="C1128">
        <v>2023</v>
      </c>
      <c r="D1128" s="18"/>
      <c r="E1128" s="18"/>
      <c r="F1128" s="13">
        <v>1009</v>
      </c>
      <c r="G1128" t="str">
        <f>VLOOKUP(F1128,'Liste Formations'!$A$5:$B$182,2,FALSE)</f>
        <v>Défibrillateur</v>
      </c>
      <c r="H1128" s="73">
        <v>2</v>
      </c>
    </row>
    <row r="1129" spans="1:10" x14ac:dyDescent="0.25">
      <c r="A1129">
        <v>484</v>
      </c>
      <c r="B1129" t="s">
        <v>115</v>
      </c>
      <c r="C1129">
        <v>2023</v>
      </c>
      <c r="D1129" s="18"/>
      <c r="E1129" s="18"/>
      <c r="F1129" s="13">
        <v>1010</v>
      </c>
      <c r="G1129" t="str">
        <f>VLOOKUP(F1129,'Liste Formations'!$A$5:$B$182,2,FALSE)</f>
        <v>Incendie</v>
      </c>
      <c r="H1129" s="73">
        <v>2</v>
      </c>
    </row>
    <row r="1130" spans="1:10" x14ac:dyDescent="0.25">
      <c r="A1130">
        <v>484</v>
      </c>
      <c r="B1130" t="s">
        <v>115</v>
      </c>
      <c r="C1130">
        <v>2023</v>
      </c>
      <c r="D1130" s="18"/>
      <c r="E1130" s="18"/>
      <c r="F1130" s="13">
        <v>3042</v>
      </c>
      <c r="G1130" t="str">
        <f>VLOOKUP(F1130,'Liste Formations'!$A$5:$B$182,2,FALSE)</f>
        <v>Poste 1406</v>
      </c>
      <c r="H1130" s="73">
        <v>151.66999999999999</v>
      </c>
    </row>
    <row r="1131" spans="1:10" x14ac:dyDescent="0.25">
      <c r="A1131">
        <v>484</v>
      </c>
      <c r="B1131" t="s">
        <v>115</v>
      </c>
      <c r="C1131">
        <v>2024</v>
      </c>
      <c r="D1131" s="18"/>
      <c r="E1131" s="18"/>
      <c r="F1131" s="13">
        <v>1020</v>
      </c>
      <c r="G1131" t="s">
        <v>202</v>
      </c>
      <c r="H1131">
        <v>3.5</v>
      </c>
    </row>
    <row r="1132" spans="1:10" x14ac:dyDescent="0.25">
      <c r="A1132">
        <v>484</v>
      </c>
      <c r="B1132" t="s">
        <v>115</v>
      </c>
      <c r="C1132">
        <v>2024</v>
      </c>
      <c r="D1132" s="18"/>
      <c r="E1132" s="18"/>
      <c r="F1132" s="13">
        <v>3006</v>
      </c>
      <c r="G1132" s="15" t="s">
        <v>25</v>
      </c>
      <c r="H1132" s="73">
        <v>70</v>
      </c>
      <c r="J1132" s="73"/>
    </row>
    <row r="1133" spans="1:10" x14ac:dyDescent="0.25">
      <c r="A1133">
        <v>484</v>
      </c>
      <c r="B1133" t="s">
        <v>115</v>
      </c>
      <c r="C1133">
        <v>2024</v>
      </c>
      <c r="D1133" s="18"/>
      <c r="E1133" s="18"/>
      <c r="F1133" s="13">
        <v>1002</v>
      </c>
      <c r="G1133" t="s">
        <v>204</v>
      </c>
      <c r="H1133">
        <v>14</v>
      </c>
    </row>
    <row r="1134" spans="1:10" x14ac:dyDescent="0.25">
      <c r="D1134" s="18"/>
      <c r="E1134" s="18"/>
    </row>
    <row r="1135" spans="1:10" x14ac:dyDescent="0.25">
      <c r="A1135">
        <v>428</v>
      </c>
      <c r="B1135" t="s">
        <v>116</v>
      </c>
      <c r="C1135">
        <v>2021</v>
      </c>
      <c r="D1135" s="18"/>
      <c r="E1135" s="18"/>
      <c r="F1135" s="13">
        <v>1004</v>
      </c>
      <c r="G1135" t="str">
        <f>VLOOKUP(F1135,'Liste Formations'!$A$5:$B$182,2,FALSE)</f>
        <v>Conduite Chariots Cat.3</v>
      </c>
      <c r="H1135">
        <v>7</v>
      </c>
    </row>
    <row r="1136" spans="1:10" x14ac:dyDescent="0.25">
      <c r="A1136">
        <v>428</v>
      </c>
      <c r="B1136" t="s">
        <v>116</v>
      </c>
      <c r="C1136">
        <v>2021</v>
      </c>
      <c r="D1136" s="18"/>
      <c r="E1136" s="18"/>
      <c r="F1136" s="13">
        <v>3010</v>
      </c>
      <c r="G1136" t="str">
        <f>VLOOKUP(F1136,'Liste Formations'!$A$5:$B$182,2,FALSE)</f>
        <v>Poste 830</v>
      </c>
      <c r="H1136">
        <v>151.66999999999999</v>
      </c>
    </row>
    <row r="1137" spans="1:9" x14ac:dyDescent="0.25">
      <c r="A1137">
        <v>428</v>
      </c>
      <c r="B1137" t="s">
        <v>116</v>
      </c>
      <c r="C1137">
        <v>2022</v>
      </c>
      <c r="D1137" s="18"/>
      <c r="E1137" s="18"/>
      <c r="F1137" s="13">
        <v>3006</v>
      </c>
      <c r="G1137" t="str">
        <f>VLOOKUP(F1137,'Liste Formations'!$A$5:$B$182,2,FALSE)</f>
        <v>Poste 515</v>
      </c>
      <c r="H1137">
        <v>151.66999999999999</v>
      </c>
    </row>
    <row r="1138" spans="1:9" x14ac:dyDescent="0.25">
      <c r="A1138">
        <v>428</v>
      </c>
      <c r="B1138" t="s">
        <v>116</v>
      </c>
      <c r="C1138">
        <v>2022</v>
      </c>
      <c r="D1138" s="18"/>
      <c r="E1138" s="18"/>
      <c r="F1138" s="13">
        <v>3025</v>
      </c>
      <c r="G1138" t="str">
        <f>VLOOKUP(F1138,'Liste Formations'!$A$5:$B$182,2,FALSE)</f>
        <v>Poste 930</v>
      </c>
      <c r="H1138">
        <v>151.66999999999999</v>
      </c>
    </row>
    <row r="1139" spans="1:9" x14ac:dyDescent="0.25">
      <c r="A1139">
        <v>428</v>
      </c>
      <c r="B1139" t="s">
        <v>116</v>
      </c>
      <c r="C1139">
        <v>2023</v>
      </c>
      <c r="D1139" s="18"/>
      <c r="E1139" s="18"/>
      <c r="F1139" s="13">
        <v>3007</v>
      </c>
      <c r="G1139" t="str">
        <f>VLOOKUP(F1139,'Liste Formations'!$A$5:$B$182,2,FALSE)</f>
        <v>Poste 516</v>
      </c>
      <c r="H1139">
        <v>151.66999999999999</v>
      </c>
    </row>
    <row r="1140" spans="1:9" x14ac:dyDescent="0.25">
      <c r="A1140">
        <v>428</v>
      </c>
      <c r="B1140" t="s">
        <v>116</v>
      </c>
      <c r="C1140">
        <v>2023</v>
      </c>
      <c r="D1140" s="18"/>
      <c r="E1140" s="18"/>
      <c r="F1140" s="13">
        <v>1030</v>
      </c>
      <c r="G1140" t="str">
        <f>VLOOKUP(F1140,'Liste Formations'!$A$5:$B$182,2,FALSE)</f>
        <v>Utilisation PTI</v>
      </c>
      <c r="H1140">
        <v>0.5</v>
      </c>
    </row>
    <row r="1141" spans="1:9" x14ac:dyDescent="0.25">
      <c r="A1141">
        <v>428</v>
      </c>
      <c r="B1141" t="s">
        <v>116</v>
      </c>
      <c r="C1141">
        <v>2024</v>
      </c>
      <c r="D1141" s="18"/>
      <c r="E1141" s="18"/>
      <c r="F1141" s="13">
        <v>1009</v>
      </c>
      <c r="G1141" t="str">
        <f>VLOOKUP(F1141,'Liste Formations'!$A$5:$B$182,2,FALSE)</f>
        <v>Défibrillateur</v>
      </c>
      <c r="H1141">
        <v>2</v>
      </c>
    </row>
    <row r="1142" spans="1:9" x14ac:dyDescent="0.25">
      <c r="A1142">
        <v>428</v>
      </c>
      <c r="B1142" t="s">
        <v>116</v>
      </c>
      <c r="C1142">
        <v>2024</v>
      </c>
      <c r="D1142" s="18"/>
      <c r="E1142" s="18"/>
      <c r="F1142" s="13">
        <v>1010</v>
      </c>
      <c r="G1142" t="str">
        <f>VLOOKUP(F1142,'Liste Formations'!$A$5:$B$182,2,FALSE)</f>
        <v>Incendie</v>
      </c>
      <c r="H1142">
        <v>2</v>
      </c>
    </row>
    <row r="1143" spans="1:9" x14ac:dyDescent="0.25">
      <c r="A1143">
        <v>428</v>
      </c>
      <c r="B1143" t="s">
        <v>116</v>
      </c>
      <c r="C1143">
        <v>2024</v>
      </c>
      <c r="D1143" s="18"/>
      <c r="E1143" s="18"/>
      <c r="F1143" s="13">
        <v>3011</v>
      </c>
      <c r="G1143" t="str">
        <f>VLOOKUP(F1143,'Liste Formations'!$A$5:$B$182,2,FALSE)</f>
        <v>Poste 834</v>
      </c>
      <c r="H1143">
        <v>16</v>
      </c>
    </row>
    <row r="1144" spans="1:9" x14ac:dyDescent="0.25">
      <c r="A1144">
        <v>428</v>
      </c>
      <c r="B1144" t="s">
        <v>116</v>
      </c>
      <c r="C1144">
        <v>2024</v>
      </c>
      <c r="D1144" s="18"/>
      <c r="E1144" s="18"/>
      <c r="F1144" s="13">
        <v>3037</v>
      </c>
      <c r="G1144" t="str">
        <f>VLOOKUP(F1144,'Liste Formations'!$A$5:$B$182,2,FALSE)</f>
        <v>Poste 1121</v>
      </c>
      <c r="H1144">
        <v>35</v>
      </c>
    </row>
    <row r="1145" spans="1:9" x14ac:dyDescent="0.25">
      <c r="A1145">
        <v>428</v>
      </c>
      <c r="B1145" t="s">
        <v>116</v>
      </c>
      <c r="C1145">
        <v>2025</v>
      </c>
      <c r="D1145" s="18">
        <v>45723</v>
      </c>
      <c r="E1145" s="18">
        <v>45754</v>
      </c>
      <c r="F1145" s="13">
        <v>3032</v>
      </c>
      <c r="G1145" s="15" t="s">
        <v>30</v>
      </c>
      <c r="H1145" s="75">
        <v>35</v>
      </c>
      <c r="I1145" t="s">
        <v>308</v>
      </c>
    </row>
    <row r="1146" spans="1:9" x14ac:dyDescent="0.25">
      <c r="D1146" s="18"/>
      <c r="E1146" s="18"/>
      <c r="G1146" s="15"/>
    </row>
    <row r="1147" spans="1:9" x14ac:dyDescent="0.25">
      <c r="A1147">
        <v>395</v>
      </c>
      <c r="B1147" t="s">
        <v>117</v>
      </c>
      <c r="C1147">
        <v>2020</v>
      </c>
      <c r="D1147" s="18"/>
      <c r="E1147" s="18"/>
      <c r="F1147" s="13">
        <v>1004</v>
      </c>
      <c r="G1147" t="str">
        <f>VLOOKUP(F1147,'Liste Formations'!$A$5:$B$182,2,FALSE)</f>
        <v>Conduite Chariots Cat.3</v>
      </c>
      <c r="H1147">
        <v>7</v>
      </c>
    </row>
    <row r="1148" spans="1:9" x14ac:dyDescent="0.25">
      <c r="A1148">
        <v>395</v>
      </c>
      <c r="B1148" t="s">
        <v>117</v>
      </c>
      <c r="C1148">
        <v>2020</v>
      </c>
      <c r="D1148" s="18"/>
      <c r="E1148" s="18"/>
      <c r="F1148" s="13">
        <v>3031</v>
      </c>
      <c r="G1148" t="str">
        <f>VLOOKUP(F1148,'Liste Formations'!$A$5:$B$182,2,FALSE)</f>
        <v>Poste 1007</v>
      </c>
      <c r="H1148">
        <v>151.66999999999999</v>
      </c>
    </row>
    <row r="1149" spans="1:9" x14ac:dyDescent="0.25">
      <c r="A1149">
        <v>395</v>
      </c>
      <c r="B1149" t="s">
        <v>117</v>
      </c>
      <c r="C1149">
        <v>2020</v>
      </c>
      <c r="D1149" s="18"/>
      <c r="E1149" s="18"/>
      <c r="F1149" s="13">
        <v>3044</v>
      </c>
      <c r="G1149" t="str">
        <f>VLOOKUP(F1149,'Liste Formations'!$A$5:$B$182,2,FALSE)</f>
        <v>Poste Ponceuse Découpe</v>
      </c>
      <c r="H1149">
        <v>151.66999999999999</v>
      </c>
    </row>
    <row r="1150" spans="1:9" x14ac:dyDescent="0.25">
      <c r="A1150">
        <v>395</v>
      </c>
      <c r="B1150" t="s">
        <v>117</v>
      </c>
      <c r="C1150">
        <v>2020</v>
      </c>
      <c r="D1150" s="18"/>
      <c r="E1150" s="18"/>
      <c r="F1150" s="13">
        <v>3045</v>
      </c>
      <c r="G1150" t="str">
        <f>VLOOKUP(F1150,'Liste Formations'!$A$5:$B$182,2,FALSE)</f>
        <v xml:space="preserve">Poste de travail </v>
      </c>
      <c r="H1150">
        <v>440</v>
      </c>
    </row>
    <row r="1151" spans="1:9" x14ac:dyDescent="0.25">
      <c r="A1151">
        <v>395</v>
      </c>
      <c r="B1151" t="s">
        <v>117</v>
      </c>
      <c r="C1151">
        <v>2022</v>
      </c>
      <c r="D1151" s="18"/>
      <c r="E1151" s="18"/>
      <c r="F1151" s="13">
        <v>3032</v>
      </c>
      <c r="G1151" t="str">
        <f>VLOOKUP(F1151,'Liste Formations'!$A$5:$B$182,2,FALSE)</f>
        <v>Poste 1100</v>
      </c>
      <c r="H1151">
        <v>151.66999999999999</v>
      </c>
    </row>
    <row r="1152" spans="1:9" x14ac:dyDescent="0.25">
      <c r="A1152">
        <v>395</v>
      </c>
      <c r="B1152" t="s">
        <v>117</v>
      </c>
      <c r="C1152">
        <v>2022</v>
      </c>
      <c r="D1152" s="18"/>
      <c r="E1152" s="18"/>
      <c r="F1152" s="13">
        <v>3034</v>
      </c>
      <c r="G1152" t="str">
        <f>VLOOKUP(F1152,'Liste Formations'!$A$5:$B$182,2,FALSE)</f>
        <v>Poste 1103</v>
      </c>
      <c r="H1152">
        <v>151.66999999999999</v>
      </c>
    </row>
    <row r="1153" spans="1:10" x14ac:dyDescent="0.25">
      <c r="A1153">
        <v>395</v>
      </c>
      <c r="B1153" t="s">
        <v>117</v>
      </c>
      <c r="C1153">
        <v>2023</v>
      </c>
      <c r="D1153" s="18"/>
      <c r="E1153" s="18"/>
      <c r="F1153" s="13">
        <v>1014</v>
      </c>
      <c r="G1153" t="str">
        <f>VLOOKUP(F1153,'Liste Formations'!$A$5:$B$182,2,FALSE)</f>
        <v>Membres CSE</v>
      </c>
      <c r="H1153">
        <v>35</v>
      </c>
    </row>
    <row r="1154" spans="1:10" x14ac:dyDescent="0.25">
      <c r="A1154">
        <v>395</v>
      </c>
      <c r="B1154" t="s">
        <v>117</v>
      </c>
      <c r="C1154">
        <v>2024</v>
      </c>
      <c r="D1154" s="18"/>
      <c r="E1154" s="18"/>
      <c r="F1154" s="13">
        <v>1030</v>
      </c>
      <c r="G1154" t="str">
        <f>VLOOKUP(F1154,'Liste Formations'!$A$5:$B$182,2,FALSE)</f>
        <v>Utilisation PTI</v>
      </c>
      <c r="H1154">
        <v>0.5</v>
      </c>
    </row>
    <row r="1155" spans="1:10" x14ac:dyDescent="0.25">
      <c r="A1155">
        <v>395</v>
      </c>
      <c r="B1155" t="s">
        <v>117</v>
      </c>
      <c r="C1155">
        <v>2024</v>
      </c>
      <c r="D1155" s="18"/>
      <c r="E1155" s="18"/>
      <c r="F1155" s="13">
        <v>3037</v>
      </c>
      <c r="G1155" s="15" t="s">
        <v>29</v>
      </c>
      <c r="H1155" s="73">
        <v>35</v>
      </c>
    </row>
    <row r="1156" spans="1:10" x14ac:dyDescent="0.25">
      <c r="A1156">
        <v>395</v>
      </c>
      <c r="B1156" t="s">
        <v>117</v>
      </c>
      <c r="C1156">
        <v>2025</v>
      </c>
      <c r="D1156" s="18">
        <v>45912</v>
      </c>
      <c r="E1156" s="18">
        <v>45912</v>
      </c>
      <c r="F1156" s="13">
        <v>1004</v>
      </c>
      <c r="G1156" t="s">
        <v>206</v>
      </c>
      <c r="H1156">
        <v>7</v>
      </c>
      <c r="I1156" t="s">
        <v>314</v>
      </c>
    </row>
    <row r="1157" spans="1:10" x14ac:dyDescent="0.25">
      <c r="D1157" s="18"/>
      <c r="E1157" s="18"/>
      <c r="G1157" s="15"/>
      <c r="H1157" s="73"/>
    </row>
    <row r="1158" spans="1:10" x14ac:dyDescent="0.25">
      <c r="A1158">
        <v>491</v>
      </c>
      <c r="B1158" t="s">
        <v>171</v>
      </c>
      <c r="C1158">
        <v>2024</v>
      </c>
      <c r="D1158" s="18"/>
      <c r="E1158" s="18"/>
      <c r="F1158" s="13">
        <v>1020</v>
      </c>
      <c r="G1158" t="s">
        <v>202</v>
      </c>
      <c r="H1158">
        <v>3.5</v>
      </c>
    </row>
    <row r="1159" spans="1:10" x14ac:dyDescent="0.25">
      <c r="A1159">
        <v>491</v>
      </c>
      <c r="B1159" t="s">
        <v>171</v>
      </c>
      <c r="C1159">
        <v>2024</v>
      </c>
      <c r="D1159" s="18"/>
      <c r="E1159" s="18"/>
      <c r="F1159" s="13">
        <v>3005</v>
      </c>
      <c r="G1159" s="15" t="s">
        <v>31</v>
      </c>
      <c r="H1159" s="73">
        <v>70</v>
      </c>
      <c r="J1159" s="73"/>
    </row>
    <row r="1160" spans="1:10" x14ac:dyDescent="0.25">
      <c r="A1160">
        <v>491</v>
      </c>
      <c r="B1160" t="s">
        <v>171</v>
      </c>
      <c r="C1160">
        <v>2024</v>
      </c>
      <c r="D1160" s="18"/>
      <c r="E1160" s="18"/>
      <c r="F1160" s="13">
        <v>3006</v>
      </c>
      <c r="G1160" s="15" t="s">
        <v>25</v>
      </c>
      <c r="H1160" s="73">
        <v>35</v>
      </c>
      <c r="J1160" s="73"/>
    </row>
    <row r="1161" spans="1:10" x14ac:dyDescent="0.25">
      <c r="A1161">
        <v>491</v>
      </c>
      <c r="B1161" t="s">
        <v>171</v>
      </c>
      <c r="C1161">
        <v>2024</v>
      </c>
      <c r="D1161" s="18"/>
      <c r="E1161" s="18"/>
      <c r="F1161" s="13">
        <v>3007</v>
      </c>
      <c r="G1161" s="15" t="s">
        <v>26</v>
      </c>
      <c r="H1161" s="73">
        <v>105</v>
      </c>
      <c r="J1161" s="73"/>
    </row>
    <row r="1162" spans="1:10" x14ac:dyDescent="0.25">
      <c r="A1162">
        <v>491</v>
      </c>
      <c r="B1162" t="s">
        <v>171</v>
      </c>
      <c r="C1162">
        <v>2025</v>
      </c>
      <c r="D1162" s="18">
        <v>45723</v>
      </c>
      <c r="E1162" s="18">
        <v>45754</v>
      </c>
      <c r="F1162" s="13">
        <v>3008</v>
      </c>
      <c r="G1162" s="15" t="s">
        <v>33</v>
      </c>
      <c r="H1162" s="75">
        <v>35</v>
      </c>
      <c r="I1162" t="s">
        <v>308</v>
      </c>
    </row>
    <row r="1163" spans="1:10" x14ac:dyDescent="0.25">
      <c r="A1163">
        <v>491</v>
      </c>
      <c r="B1163" t="s">
        <v>171</v>
      </c>
      <c r="C1163">
        <v>2025</v>
      </c>
      <c r="D1163" s="18">
        <v>45723</v>
      </c>
      <c r="E1163" s="18">
        <v>45754</v>
      </c>
      <c r="F1163" s="63">
        <v>3048</v>
      </c>
      <c r="G1163" t="str">
        <f>VLOOKUP(F1163,'Liste Formations'!$A$5:$B$182,2,FALSE)</f>
        <v>Poste 561</v>
      </c>
      <c r="H1163" s="75">
        <v>30</v>
      </c>
      <c r="I1163" t="s">
        <v>308</v>
      </c>
    </row>
    <row r="1164" spans="1:10" x14ac:dyDescent="0.25">
      <c r="A1164">
        <v>491</v>
      </c>
      <c r="B1164" t="s">
        <v>171</v>
      </c>
      <c r="C1164">
        <v>2025</v>
      </c>
      <c r="D1164" s="18">
        <v>45814</v>
      </c>
      <c r="E1164" s="18">
        <v>45814</v>
      </c>
      <c r="F1164" s="13">
        <v>2031</v>
      </c>
      <c r="G1164" s="15" t="s">
        <v>180</v>
      </c>
      <c r="H1164" s="75">
        <v>2</v>
      </c>
      <c r="I1164" t="s">
        <v>304</v>
      </c>
    </row>
    <row r="1165" spans="1:10" x14ac:dyDescent="0.25">
      <c r="A1165">
        <v>491</v>
      </c>
      <c r="B1165" t="s">
        <v>171</v>
      </c>
      <c r="C1165">
        <v>2025</v>
      </c>
      <c r="D1165" s="18">
        <v>45835</v>
      </c>
      <c r="E1165" s="18">
        <v>45842</v>
      </c>
      <c r="F1165" s="13">
        <v>1004</v>
      </c>
      <c r="G1165" t="s">
        <v>206</v>
      </c>
      <c r="H1165" s="75">
        <v>14</v>
      </c>
      <c r="I1165" t="s">
        <v>314</v>
      </c>
    </row>
    <row r="1166" spans="1:10" x14ac:dyDescent="0.25">
      <c r="A1166">
        <v>491</v>
      </c>
      <c r="B1166" t="s">
        <v>171</v>
      </c>
      <c r="C1166">
        <v>2026</v>
      </c>
      <c r="D1166" s="18"/>
      <c r="E1166" s="18">
        <v>46078</v>
      </c>
      <c r="F1166" s="13">
        <v>3002</v>
      </c>
      <c r="G1166" t="s">
        <v>24</v>
      </c>
      <c r="H1166" s="80">
        <v>105</v>
      </c>
      <c r="I1166" t="s">
        <v>308</v>
      </c>
    </row>
    <row r="1167" spans="1:10" x14ac:dyDescent="0.25">
      <c r="A1167">
        <v>491</v>
      </c>
      <c r="B1167" t="s">
        <v>171</v>
      </c>
      <c r="C1167">
        <v>2026</v>
      </c>
      <c r="D1167" s="18"/>
      <c r="E1167" s="18">
        <v>46078</v>
      </c>
      <c r="F1167" s="13">
        <v>3004</v>
      </c>
      <c r="G1167" t="s">
        <v>34</v>
      </c>
      <c r="H1167" s="73">
        <v>105</v>
      </c>
      <c r="I1167" t="s">
        <v>308</v>
      </c>
    </row>
    <row r="1168" spans="1:10" x14ac:dyDescent="0.25">
      <c r="D1168" s="18"/>
      <c r="E1168" s="18"/>
      <c r="H1168" s="73"/>
    </row>
    <row r="1169" spans="1:10" x14ac:dyDescent="0.25">
      <c r="A1169">
        <v>480</v>
      </c>
      <c r="B1169" t="s">
        <v>118</v>
      </c>
      <c r="C1169">
        <v>2023</v>
      </c>
      <c r="D1169" s="18"/>
      <c r="E1169" s="18"/>
      <c r="F1169" s="13">
        <v>1030</v>
      </c>
      <c r="G1169" t="str">
        <f>VLOOKUP(F1169,'Liste Formations'!$A$5:$B$182,2,FALSE)</f>
        <v>Utilisation PTI</v>
      </c>
      <c r="H1169">
        <v>0.5</v>
      </c>
    </row>
    <row r="1170" spans="1:10" x14ac:dyDescent="0.25">
      <c r="A1170">
        <v>480</v>
      </c>
      <c r="B1170" t="s">
        <v>118</v>
      </c>
      <c r="C1170">
        <v>2023</v>
      </c>
      <c r="D1170" s="18"/>
      <c r="E1170" s="18"/>
      <c r="F1170" s="13">
        <v>3010</v>
      </c>
      <c r="G1170" t="str">
        <f>VLOOKUP(F1170,'Liste Formations'!$A$5:$B$182,2,FALSE)</f>
        <v>Poste 830</v>
      </c>
      <c r="H1170">
        <v>151.66999999999999</v>
      </c>
    </row>
    <row r="1171" spans="1:10" x14ac:dyDescent="0.25">
      <c r="A1171">
        <v>480</v>
      </c>
      <c r="B1171" t="s">
        <v>118</v>
      </c>
      <c r="C1171">
        <v>2023</v>
      </c>
      <c r="D1171" s="18"/>
      <c r="E1171" s="18"/>
      <c r="F1171" s="13">
        <v>3025</v>
      </c>
      <c r="G1171" t="str">
        <f>VLOOKUP(F1171,'Liste Formations'!$A$5:$B$182,2,FALSE)</f>
        <v>Poste 930</v>
      </c>
      <c r="H1171">
        <v>151.66999999999999</v>
      </c>
    </row>
    <row r="1172" spans="1:10" x14ac:dyDescent="0.25">
      <c r="A1172">
        <v>480</v>
      </c>
      <c r="B1172" t="s">
        <v>118</v>
      </c>
      <c r="C1172">
        <v>2024</v>
      </c>
      <c r="D1172" s="18"/>
      <c r="E1172" s="18"/>
      <c r="F1172" s="66">
        <v>1016</v>
      </c>
      <c r="G1172" t="s">
        <v>207</v>
      </c>
      <c r="H1172">
        <v>14</v>
      </c>
    </row>
    <row r="1173" spans="1:10" x14ac:dyDescent="0.25">
      <c r="A1173">
        <v>480</v>
      </c>
      <c r="B1173" t="s">
        <v>118</v>
      </c>
      <c r="C1173">
        <v>2024</v>
      </c>
      <c r="D1173" s="18"/>
      <c r="E1173" s="18"/>
      <c r="F1173" s="13">
        <v>1009</v>
      </c>
      <c r="G1173" t="s">
        <v>221</v>
      </c>
      <c r="H1173">
        <v>2</v>
      </c>
    </row>
    <row r="1174" spans="1:10" x14ac:dyDescent="0.25">
      <c r="A1174">
        <v>480</v>
      </c>
      <c r="B1174" t="s">
        <v>118</v>
      </c>
      <c r="C1174">
        <v>2024</v>
      </c>
      <c r="D1174" s="18"/>
      <c r="E1174" s="18"/>
      <c r="F1174" s="13">
        <v>1010</v>
      </c>
      <c r="G1174" t="s">
        <v>222</v>
      </c>
      <c r="H1174">
        <v>2</v>
      </c>
    </row>
    <row r="1175" spans="1:10" x14ac:dyDescent="0.25">
      <c r="A1175">
        <v>480</v>
      </c>
      <c r="B1175" t="s">
        <v>118</v>
      </c>
      <c r="C1175">
        <v>2024</v>
      </c>
      <c r="D1175" s="18"/>
      <c r="E1175" s="18"/>
      <c r="F1175" s="13">
        <v>3037</v>
      </c>
      <c r="G1175" s="15" t="s">
        <v>29</v>
      </c>
      <c r="H1175" s="73">
        <v>35</v>
      </c>
      <c r="J1175" s="73"/>
    </row>
    <row r="1176" spans="1:10" x14ac:dyDescent="0.25">
      <c r="A1176">
        <v>480</v>
      </c>
      <c r="B1176" t="s">
        <v>118</v>
      </c>
      <c r="C1176">
        <v>2024</v>
      </c>
      <c r="D1176" s="18"/>
      <c r="E1176" s="18"/>
      <c r="F1176" s="13">
        <v>3032</v>
      </c>
      <c r="G1176" s="15" t="s">
        <v>30</v>
      </c>
      <c r="H1176" s="73">
        <v>35</v>
      </c>
      <c r="J1176" s="73"/>
    </row>
    <row r="1177" spans="1:10" x14ac:dyDescent="0.25">
      <c r="D1177" s="18"/>
      <c r="E1177" s="18"/>
      <c r="G1177" s="15"/>
      <c r="H1177" s="73"/>
    </row>
    <row r="1178" spans="1:10" x14ac:dyDescent="0.25">
      <c r="A1178">
        <v>365</v>
      </c>
      <c r="B1178" t="s">
        <v>119</v>
      </c>
      <c r="C1178">
        <v>2016</v>
      </c>
      <c r="D1178" s="18"/>
      <c r="E1178" s="18"/>
      <c r="F1178" s="13">
        <v>2007</v>
      </c>
      <c r="G1178" t="str">
        <f>VLOOKUP(F1178,'Liste Formations'!$A$5:$B$182,2,FALSE)</f>
        <v>ERP DIVALTO</v>
      </c>
      <c r="H1178" s="73">
        <v>21</v>
      </c>
    </row>
    <row r="1179" spans="1:10" x14ac:dyDescent="0.25">
      <c r="A1179">
        <v>365</v>
      </c>
      <c r="B1179" t="s">
        <v>119</v>
      </c>
      <c r="C1179">
        <v>2017</v>
      </c>
      <c r="D1179" s="18"/>
      <c r="E1179" s="18"/>
      <c r="F1179" s="13">
        <v>1009</v>
      </c>
      <c r="G1179" t="str">
        <f>VLOOKUP(F1179,'Liste Formations'!$A$5:$B$182,2,FALSE)</f>
        <v>Défibrillateur</v>
      </c>
      <c r="H1179" s="73">
        <v>2</v>
      </c>
    </row>
    <row r="1180" spans="1:10" x14ac:dyDescent="0.25">
      <c r="A1180">
        <v>365</v>
      </c>
      <c r="B1180" t="s">
        <v>119</v>
      </c>
      <c r="C1180">
        <v>2017</v>
      </c>
      <c r="D1180" s="18"/>
      <c r="E1180" s="18"/>
      <c r="F1180" s="13">
        <v>1010</v>
      </c>
      <c r="G1180" t="str">
        <f>VLOOKUP(F1180,'Liste Formations'!$A$5:$B$182,2,FALSE)</f>
        <v>Incendie</v>
      </c>
      <c r="H1180" s="73">
        <v>2</v>
      </c>
    </row>
    <row r="1181" spans="1:10" x14ac:dyDescent="0.25">
      <c r="A1181">
        <v>365</v>
      </c>
      <c r="B1181" t="s">
        <v>119</v>
      </c>
      <c r="C1181">
        <v>2017</v>
      </c>
      <c r="D1181" s="18"/>
      <c r="E1181" s="18"/>
      <c r="F1181" s="13">
        <v>2007</v>
      </c>
      <c r="G1181" t="str">
        <f>VLOOKUP(F1181,'Liste Formations'!$A$5:$B$182,2,FALSE)</f>
        <v>ERP DIVALTO</v>
      </c>
      <c r="H1181" s="73">
        <v>14</v>
      </c>
    </row>
    <row r="1182" spans="1:10" x14ac:dyDescent="0.25">
      <c r="A1182">
        <v>365</v>
      </c>
      <c r="B1182" t="s">
        <v>119</v>
      </c>
      <c r="C1182">
        <v>2019</v>
      </c>
      <c r="D1182" s="18"/>
      <c r="E1182" s="18"/>
      <c r="F1182" s="13">
        <v>2007</v>
      </c>
      <c r="G1182" t="str">
        <f>VLOOKUP(F1182,'Liste Formations'!$A$5:$B$182,2,FALSE)</f>
        <v>ERP DIVALTO</v>
      </c>
      <c r="H1182" s="73">
        <v>17.5</v>
      </c>
    </row>
    <row r="1183" spans="1:10" x14ac:dyDescent="0.25">
      <c r="A1183">
        <v>365</v>
      </c>
      <c r="B1183" t="s">
        <v>119</v>
      </c>
      <c r="C1183">
        <v>2020</v>
      </c>
      <c r="D1183" s="18"/>
      <c r="E1183" s="18"/>
      <c r="F1183" s="13">
        <v>2007</v>
      </c>
      <c r="G1183" t="str">
        <f>VLOOKUP(F1183,'Liste Formations'!$A$5:$B$182,2,FALSE)</f>
        <v>ERP DIVALTO</v>
      </c>
      <c r="H1183" s="73">
        <v>2</v>
      </c>
    </row>
    <row r="1184" spans="1:10" x14ac:dyDescent="0.25">
      <c r="A1184">
        <v>365</v>
      </c>
      <c r="B1184" t="s">
        <v>119</v>
      </c>
      <c r="C1184">
        <v>2021</v>
      </c>
      <c r="D1184" s="18"/>
      <c r="E1184" s="18"/>
      <c r="F1184" s="13">
        <v>1029</v>
      </c>
      <c r="G1184" t="str">
        <f>VLOOKUP(F1184,'Liste Formations'!$A$5:$B$182,2,FALSE)</f>
        <v>ADR Transport de matières dangereuses</v>
      </c>
      <c r="H1184" s="73">
        <v>7</v>
      </c>
    </row>
    <row r="1185" spans="1:9" x14ac:dyDescent="0.25">
      <c r="A1185">
        <v>365</v>
      </c>
      <c r="B1185" t="s">
        <v>119</v>
      </c>
      <c r="C1185">
        <v>2023</v>
      </c>
      <c r="D1185" s="18"/>
      <c r="E1185" s="18"/>
      <c r="F1185" s="13">
        <v>1009</v>
      </c>
      <c r="G1185" t="str">
        <f>VLOOKUP(F1185,'Liste Formations'!$A$5:$B$182,2,FALSE)</f>
        <v>Défibrillateur</v>
      </c>
      <c r="H1185" s="73">
        <v>2</v>
      </c>
    </row>
    <row r="1186" spans="1:9" x14ac:dyDescent="0.25">
      <c r="A1186">
        <v>365</v>
      </c>
      <c r="B1186" t="s">
        <v>119</v>
      </c>
      <c r="C1186">
        <v>2023</v>
      </c>
      <c r="D1186" s="18"/>
      <c r="E1186" s="18"/>
      <c r="F1186" s="13">
        <v>1010</v>
      </c>
      <c r="G1186" t="str">
        <f>VLOOKUP(F1186,'Liste Formations'!$A$5:$B$182,2,FALSE)</f>
        <v>Incendie</v>
      </c>
      <c r="H1186" s="73">
        <v>2</v>
      </c>
    </row>
    <row r="1187" spans="1:9" x14ac:dyDescent="0.25">
      <c r="A1187">
        <v>365</v>
      </c>
      <c r="B1187" t="s">
        <v>119</v>
      </c>
      <c r="C1187">
        <v>2023</v>
      </c>
      <c r="D1187" s="18"/>
      <c r="E1187" s="18"/>
      <c r="F1187" s="13">
        <v>2040</v>
      </c>
      <c r="G1187" t="str">
        <f>VLOOKUP(F1187,'Liste Formations'!$A$5:$B$182,2,FALSE)</f>
        <v xml:space="preserve">Anglais </v>
      </c>
      <c r="H1187" s="73">
        <v>21</v>
      </c>
    </row>
    <row r="1188" spans="1:9" x14ac:dyDescent="0.25">
      <c r="A1188">
        <v>365</v>
      </c>
      <c r="B1188" t="s">
        <v>119</v>
      </c>
      <c r="C1188">
        <v>2024</v>
      </c>
      <c r="D1188" s="18"/>
      <c r="E1188" s="18"/>
      <c r="F1188" s="13">
        <v>2040</v>
      </c>
      <c r="G1188" s="15" t="s">
        <v>183</v>
      </c>
      <c r="H1188">
        <v>9</v>
      </c>
    </row>
    <row r="1189" spans="1:9" x14ac:dyDescent="0.25">
      <c r="A1189">
        <v>365</v>
      </c>
      <c r="B1189" t="s">
        <v>119</v>
      </c>
      <c r="C1189">
        <v>2024</v>
      </c>
      <c r="D1189" s="18"/>
      <c r="E1189" s="18"/>
      <c r="F1189" s="13">
        <v>2041</v>
      </c>
      <c r="G1189" s="15" t="s">
        <v>181</v>
      </c>
      <c r="H1189">
        <v>14</v>
      </c>
    </row>
    <row r="1190" spans="1:9" x14ac:dyDescent="0.25">
      <c r="A1190">
        <v>365</v>
      </c>
      <c r="B1190" t="s">
        <v>119</v>
      </c>
      <c r="C1190">
        <v>2025</v>
      </c>
      <c r="D1190" s="18">
        <v>45820</v>
      </c>
      <c r="E1190" s="18">
        <v>45820</v>
      </c>
      <c r="F1190" s="13">
        <v>2031</v>
      </c>
      <c r="G1190" s="15" t="s">
        <v>180</v>
      </c>
      <c r="H1190" s="75">
        <v>1.5</v>
      </c>
      <c r="I1190" t="s">
        <v>304</v>
      </c>
    </row>
    <row r="1191" spans="1:9" x14ac:dyDescent="0.25">
      <c r="D1191" s="18"/>
      <c r="E1191" s="18"/>
      <c r="F1191" s="66"/>
    </row>
    <row r="1192" spans="1:9" x14ac:dyDescent="0.25">
      <c r="A1192">
        <v>378</v>
      </c>
      <c r="B1192" t="s">
        <v>120</v>
      </c>
      <c r="C1192">
        <v>2019</v>
      </c>
      <c r="D1192" s="18"/>
      <c r="E1192" s="18"/>
      <c r="F1192" s="66">
        <v>1009</v>
      </c>
      <c r="G1192" t="str">
        <f>VLOOKUP(F1192,'Liste Formations'!$A$5:$B$182,2,FALSE)</f>
        <v>Défibrillateur</v>
      </c>
      <c r="H1192">
        <v>2</v>
      </c>
    </row>
    <row r="1193" spans="1:9" x14ac:dyDescent="0.25">
      <c r="A1193">
        <v>378</v>
      </c>
      <c r="B1193" t="s">
        <v>120</v>
      </c>
      <c r="C1193">
        <v>2019</v>
      </c>
      <c r="D1193" s="18"/>
      <c r="E1193" s="18"/>
      <c r="F1193" s="66">
        <v>1010</v>
      </c>
      <c r="G1193" t="str">
        <f>VLOOKUP(F1193,'Liste Formations'!$A$5:$B$182,2,FALSE)</f>
        <v>Incendie</v>
      </c>
      <c r="H1193">
        <v>2</v>
      </c>
    </row>
    <row r="1194" spans="1:9" x14ac:dyDescent="0.25">
      <c r="A1194">
        <v>378</v>
      </c>
      <c r="B1194" t="s">
        <v>120</v>
      </c>
      <c r="C1194">
        <v>2019</v>
      </c>
      <c r="D1194" s="18"/>
      <c r="E1194" s="18"/>
      <c r="F1194" s="66">
        <v>1022</v>
      </c>
      <c r="G1194" t="str">
        <f>VLOOKUP(F1194,'Liste Formations'!$A$5:$B$182,2,FALSE)</f>
        <v>Sensibilisation au bruit</v>
      </c>
      <c r="H1194">
        <v>0.16</v>
      </c>
    </row>
    <row r="1195" spans="1:9" x14ac:dyDescent="0.25">
      <c r="A1195">
        <v>378</v>
      </c>
      <c r="B1195" t="s">
        <v>120</v>
      </c>
      <c r="C1195">
        <v>2019</v>
      </c>
      <c r="D1195" s="18"/>
      <c r="E1195" s="18"/>
      <c r="F1195" s="66">
        <v>3040</v>
      </c>
      <c r="G1195" t="str">
        <f>VLOOKUP(F1195,'Liste Formations'!$A$5:$B$182,2,FALSE)</f>
        <v>Poste 1404</v>
      </c>
      <c r="H1195">
        <v>151.66999999999999</v>
      </c>
    </row>
    <row r="1196" spans="1:9" x14ac:dyDescent="0.25">
      <c r="A1196">
        <v>378</v>
      </c>
      <c r="B1196" t="s">
        <v>120</v>
      </c>
      <c r="C1196">
        <v>2020</v>
      </c>
      <c r="D1196" s="18"/>
      <c r="E1196" s="18"/>
      <c r="F1196" s="66">
        <v>3006</v>
      </c>
      <c r="G1196" t="str">
        <f>VLOOKUP(F1196,'Liste Formations'!$A$5:$B$182,2,FALSE)</f>
        <v>Poste 515</v>
      </c>
      <c r="H1196">
        <v>151.66999999999999</v>
      </c>
    </row>
    <row r="1197" spans="1:9" x14ac:dyDescent="0.25">
      <c r="A1197">
        <v>378</v>
      </c>
      <c r="B1197" t="s">
        <v>120</v>
      </c>
      <c r="C1197">
        <v>2023</v>
      </c>
      <c r="D1197" s="18"/>
      <c r="E1197" s="18"/>
      <c r="F1197" s="66">
        <v>1009</v>
      </c>
      <c r="G1197" t="str">
        <f>VLOOKUP(F1197,'Liste Formations'!$A$5:$B$182,2,FALSE)</f>
        <v>Défibrillateur</v>
      </c>
      <c r="H1197">
        <v>2</v>
      </c>
    </row>
    <row r="1198" spans="1:9" x14ac:dyDescent="0.25">
      <c r="A1198">
        <v>378</v>
      </c>
      <c r="B1198" t="s">
        <v>120</v>
      </c>
      <c r="C1198">
        <v>2023</v>
      </c>
      <c r="D1198" s="18"/>
      <c r="E1198" s="18"/>
      <c r="F1198" s="66">
        <v>1010</v>
      </c>
      <c r="G1198" t="str">
        <f>VLOOKUP(F1198,'Liste Formations'!$A$5:$B$182,2,FALSE)</f>
        <v>Incendie</v>
      </c>
      <c r="H1198">
        <v>2</v>
      </c>
    </row>
    <row r="1199" spans="1:9" x14ac:dyDescent="0.25">
      <c r="A1199">
        <v>378</v>
      </c>
      <c r="B1199" t="s">
        <v>120</v>
      </c>
      <c r="C1199">
        <v>2024</v>
      </c>
      <c r="D1199" s="18"/>
      <c r="E1199" s="18"/>
      <c r="F1199" s="66">
        <v>1009</v>
      </c>
      <c r="G1199" t="str">
        <f>VLOOKUP(F1199,'Liste Formations'!$A$5:$B$182,2,FALSE)</f>
        <v>Défibrillateur</v>
      </c>
      <c r="H1199">
        <v>2</v>
      </c>
    </row>
    <row r="1200" spans="1:9" x14ac:dyDescent="0.25">
      <c r="A1200">
        <v>378</v>
      </c>
      <c r="B1200" t="s">
        <v>120</v>
      </c>
      <c r="C1200">
        <v>2024</v>
      </c>
      <c r="D1200" s="18"/>
      <c r="E1200" s="18"/>
      <c r="F1200" s="66">
        <v>1010</v>
      </c>
      <c r="G1200" t="str">
        <f>VLOOKUP(F1200,'Liste Formations'!$A$5:$B$182,2,FALSE)</f>
        <v>Incendie</v>
      </c>
      <c r="H1200">
        <v>2</v>
      </c>
    </row>
    <row r="1202" spans="1:9" x14ac:dyDescent="0.25">
      <c r="A1202">
        <v>465</v>
      </c>
      <c r="B1202" t="s">
        <v>121</v>
      </c>
      <c r="C1202">
        <v>2023</v>
      </c>
      <c r="F1202" s="13">
        <v>1009</v>
      </c>
      <c r="G1202" t="str">
        <f>VLOOKUP(F1202,'Liste Formations'!$A$5:$B$182,2,FALSE)</f>
        <v>Défibrillateur</v>
      </c>
      <c r="H1202">
        <v>2</v>
      </c>
    </row>
    <row r="1203" spans="1:9" x14ac:dyDescent="0.25">
      <c r="A1203">
        <v>465</v>
      </c>
      <c r="B1203" t="s">
        <v>121</v>
      </c>
      <c r="C1203">
        <v>2023</v>
      </c>
      <c r="F1203" s="13">
        <v>1010</v>
      </c>
      <c r="G1203" t="str">
        <f>VLOOKUP(F1203,'Liste Formations'!$A$5:$B$182,2,FALSE)</f>
        <v>Incendie</v>
      </c>
      <c r="H1203">
        <v>2</v>
      </c>
    </row>
    <row r="1204" spans="1:9" x14ac:dyDescent="0.25">
      <c r="A1204">
        <v>465</v>
      </c>
      <c r="B1204" t="s">
        <v>121</v>
      </c>
      <c r="C1204">
        <v>2023</v>
      </c>
      <c r="F1204" s="13">
        <v>1016</v>
      </c>
      <c r="G1204" t="str">
        <f>VLOOKUP(F1204,'Liste Formations'!$A$5:$B$182,2,FALSE)</f>
        <v>S.S.T. Sauveteurs Secourites du Travail</v>
      </c>
      <c r="H1204">
        <v>14</v>
      </c>
    </row>
    <row r="1205" spans="1:9" x14ac:dyDescent="0.25">
      <c r="A1205">
        <v>465</v>
      </c>
      <c r="B1205" t="s">
        <v>121</v>
      </c>
      <c r="C1205">
        <v>2023</v>
      </c>
      <c r="F1205" s="13">
        <v>2029</v>
      </c>
      <c r="G1205" t="str">
        <f>VLOOKUP(F1205,'Liste Formations'!$A$5:$B$182,2,FALSE)</f>
        <v>CORE
TOOLS</v>
      </c>
      <c r="H1205">
        <v>35</v>
      </c>
    </row>
    <row r="1206" spans="1:9" x14ac:dyDescent="0.25">
      <c r="A1206">
        <v>465</v>
      </c>
      <c r="B1206" t="s">
        <v>121</v>
      </c>
      <c r="C1206">
        <v>2023</v>
      </c>
      <c r="F1206" s="13">
        <v>2030</v>
      </c>
      <c r="G1206" t="str">
        <f>VLOOKUP(F1206,'Liste Formations'!$A$5:$B$182,2,FALSE)</f>
        <v>AMDEC</v>
      </c>
      <c r="H1206">
        <v>14</v>
      </c>
    </row>
    <row r="1207" spans="1:9" x14ac:dyDescent="0.25">
      <c r="A1207">
        <v>465</v>
      </c>
      <c r="B1207" t="s">
        <v>121</v>
      </c>
      <c r="C1207">
        <v>2024</v>
      </c>
      <c r="F1207" s="13">
        <v>1033</v>
      </c>
      <c r="G1207" t="s">
        <v>248</v>
      </c>
      <c r="H1207">
        <v>1.5</v>
      </c>
    </row>
    <row r="1208" spans="1:9" x14ac:dyDescent="0.25">
      <c r="A1208">
        <v>465</v>
      </c>
      <c r="B1208" t="s">
        <v>121</v>
      </c>
      <c r="C1208">
        <v>2024</v>
      </c>
      <c r="F1208" s="13">
        <v>2015</v>
      </c>
      <c r="G1208" t="s">
        <v>197</v>
      </c>
      <c r="H1208">
        <v>7</v>
      </c>
    </row>
    <row r="1209" spans="1:9" x14ac:dyDescent="0.25">
      <c r="A1209">
        <v>465</v>
      </c>
      <c r="B1209" t="s">
        <v>121</v>
      </c>
      <c r="C1209">
        <v>2024</v>
      </c>
      <c r="F1209" s="13">
        <v>2016</v>
      </c>
      <c r="G1209" t="s">
        <v>176</v>
      </c>
      <c r="H1209">
        <v>28</v>
      </c>
    </row>
    <row r="1210" spans="1:9" x14ac:dyDescent="0.25">
      <c r="A1210">
        <v>465</v>
      </c>
      <c r="B1210" t="s">
        <v>121</v>
      </c>
      <c r="C1210">
        <v>2024</v>
      </c>
      <c r="F1210" s="13">
        <v>1032</v>
      </c>
      <c r="G1210" t="str">
        <f>VLOOKUP(F1210,'Liste Formations'!$A$5:$B$182,2,FALSE)</f>
        <v>Sensibilisation RPS Risques Psychosociaux</v>
      </c>
      <c r="H1210">
        <v>2</v>
      </c>
    </row>
    <row r="1211" spans="1:9" x14ac:dyDescent="0.25">
      <c r="A1211">
        <v>465</v>
      </c>
      <c r="B1211" t="s">
        <v>121</v>
      </c>
      <c r="C1211">
        <v>2025</v>
      </c>
      <c r="D1211" s="18">
        <v>45695</v>
      </c>
      <c r="E1211" s="18">
        <v>45695</v>
      </c>
      <c r="F1211" s="13">
        <v>2050</v>
      </c>
      <c r="G1211" t="str">
        <f>VLOOKUP(F1211,'Liste Formations'!$A$5:$B$182,2,FALSE)</f>
        <v>Audit Process VDA point 6.2.1</v>
      </c>
      <c r="H1211" s="75">
        <v>1</v>
      </c>
      <c r="I1211" t="s">
        <v>283</v>
      </c>
    </row>
    <row r="1212" spans="1:9" x14ac:dyDescent="0.25">
      <c r="A1212">
        <v>465</v>
      </c>
      <c r="B1212" t="s">
        <v>121</v>
      </c>
      <c r="C1212">
        <v>2025</v>
      </c>
      <c r="D1212" s="18">
        <v>45747</v>
      </c>
      <c r="E1212" s="18">
        <v>45747</v>
      </c>
      <c r="F1212" s="13">
        <v>2052</v>
      </c>
      <c r="G1212" t="s">
        <v>281</v>
      </c>
      <c r="H1212" s="75">
        <v>7</v>
      </c>
      <c r="I1212" t="s">
        <v>282</v>
      </c>
    </row>
    <row r="1213" spans="1:9" x14ac:dyDescent="0.25">
      <c r="A1213">
        <v>465</v>
      </c>
      <c r="B1213" t="s">
        <v>121</v>
      </c>
      <c r="C1213">
        <v>2025</v>
      </c>
      <c r="D1213" s="18">
        <v>45764</v>
      </c>
      <c r="E1213" s="18">
        <v>45765</v>
      </c>
      <c r="F1213" s="13">
        <v>2053</v>
      </c>
      <c r="G1213" t="s">
        <v>285</v>
      </c>
      <c r="H1213" s="75">
        <v>14</v>
      </c>
      <c r="I1213" t="s">
        <v>286</v>
      </c>
    </row>
    <row r="1214" spans="1:9" x14ac:dyDescent="0.25">
      <c r="A1214">
        <v>465</v>
      </c>
      <c r="B1214" t="s">
        <v>121</v>
      </c>
      <c r="C1214">
        <v>2025</v>
      </c>
      <c r="D1214" s="18">
        <v>45944</v>
      </c>
      <c r="E1214" s="18">
        <v>45944</v>
      </c>
      <c r="F1214" s="13">
        <v>1017</v>
      </c>
      <c r="G1214" t="s">
        <v>303</v>
      </c>
      <c r="H1214">
        <v>7</v>
      </c>
      <c r="I1214" t="s">
        <v>314</v>
      </c>
    </row>
    <row r="1215" spans="1:9" x14ac:dyDescent="0.25">
      <c r="D1215" s="18"/>
      <c r="E1215" s="18"/>
    </row>
    <row r="1216" spans="1:9" x14ac:dyDescent="0.25">
      <c r="D1216" s="18"/>
      <c r="E1216" s="18"/>
    </row>
    <row r="1217" spans="1:8" x14ac:dyDescent="0.25">
      <c r="D1217" s="18"/>
      <c r="E1217" s="18"/>
    </row>
    <row r="1218" spans="1:8" x14ac:dyDescent="0.25">
      <c r="A1218">
        <v>348</v>
      </c>
      <c r="B1218" t="s">
        <v>122</v>
      </c>
      <c r="C1218">
        <v>2015</v>
      </c>
      <c r="F1218" s="13">
        <v>1007</v>
      </c>
      <c r="G1218" t="str">
        <f>VLOOKUP(F1218,'Liste Formations'!$A$5:$B$182,2,FALSE)</f>
        <v>Habilitation électrique BR/BC/B2V/HOV</v>
      </c>
      <c r="H1218">
        <v>10.5</v>
      </c>
    </row>
    <row r="1219" spans="1:8" x14ac:dyDescent="0.25">
      <c r="A1219">
        <v>348</v>
      </c>
      <c r="B1219" t="s">
        <v>122</v>
      </c>
      <c r="C1219">
        <v>2015</v>
      </c>
      <c r="F1219" s="13">
        <v>1018</v>
      </c>
      <c r="G1219" t="str">
        <f>VLOOKUP(F1219,'Liste Formations'!$A$5:$B$182,2,FALSE)</f>
        <v>AQI Chaufferies - Agent Qualifié d'Intervention en chaufferies</v>
      </c>
      <c r="H1219">
        <v>7</v>
      </c>
    </row>
    <row r="1220" spans="1:8" x14ac:dyDescent="0.25">
      <c r="A1220">
        <v>348</v>
      </c>
      <c r="B1220" t="s">
        <v>122</v>
      </c>
      <c r="C1220">
        <v>2017</v>
      </c>
      <c r="F1220" s="13">
        <v>1010</v>
      </c>
      <c r="G1220" t="str">
        <f>VLOOKUP(F1220,'Liste Formations'!$A$5:$B$182,2,FALSE)</f>
        <v>Incendie</v>
      </c>
      <c r="H1220">
        <v>2</v>
      </c>
    </row>
    <row r="1221" spans="1:8" x14ac:dyDescent="0.25">
      <c r="A1221">
        <v>348</v>
      </c>
      <c r="B1221" t="s">
        <v>122</v>
      </c>
      <c r="C1221">
        <v>2017</v>
      </c>
      <c r="F1221" s="13">
        <v>2023</v>
      </c>
      <c r="G1221" t="str">
        <f>VLOOKUP(F1221,'Liste Formations'!$A$5:$B$182,2,FALSE)</f>
        <v>Maintenance Rhéo Visco appareil Labo / ALPHA TECHNOLOGIE</v>
      </c>
      <c r="H1221">
        <v>14</v>
      </c>
    </row>
    <row r="1222" spans="1:8" x14ac:dyDescent="0.25">
      <c r="A1222">
        <v>348</v>
      </c>
      <c r="B1222" t="s">
        <v>122</v>
      </c>
      <c r="C1222">
        <v>2018</v>
      </c>
      <c r="F1222" s="13">
        <v>1007</v>
      </c>
      <c r="G1222" t="str">
        <f>VLOOKUP(F1222,'Liste Formations'!$A$5:$B$182,2,FALSE)</f>
        <v>Habilitation électrique BR/BC/B2V/HOV</v>
      </c>
      <c r="H1222">
        <v>21</v>
      </c>
    </row>
    <row r="1223" spans="1:8" x14ac:dyDescent="0.25">
      <c r="A1223">
        <v>348</v>
      </c>
      <c r="B1223" t="s">
        <v>122</v>
      </c>
      <c r="C1223">
        <v>2018</v>
      </c>
      <c r="F1223" s="13">
        <v>1016</v>
      </c>
      <c r="G1223" t="str">
        <f>VLOOKUP(F1223,'Liste Formations'!$A$5:$B$182,2,FALSE)</f>
        <v>S.S.T. Sauveteurs Secourites du Travail</v>
      </c>
      <c r="H1223">
        <v>14</v>
      </c>
    </row>
    <row r="1224" spans="1:8" x14ac:dyDescent="0.25">
      <c r="A1224">
        <v>348</v>
      </c>
      <c r="B1224" t="s">
        <v>122</v>
      </c>
      <c r="C1224">
        <v>2018</v>
      </c>
      <c r="F1224" s="13">
        <v>1020</v>
      </c>
      <c r="G1224" t="str">
        <f>VLOOKUP(F1224,'Liste Formations'!$A$5:$B$182,2,FALSE)</f>
        <v>Prévention TMS - Gestes Postures et Nutrition</v>
      </c>
      <c r="H1224">
        <v>3.5</v>
      </c>
    </row>
    <row r="1225" spans="1:8" x14ac:dyDescent="0.25">
      <c r="A1225">
        <v>348</v>
      </c>
      <c r="B1225" t="s">
        <v>122</v>
      </c>
      <c r="C1225">
        <v>2019</v>
      </c>
      <c r="F1225" s="13">
        <v>1005</v>
      </c>
      <c r="G1225" t="str">
        <f>VLOOKUP(F1225,'Liste Formations'!$A$5:$B$182,2,FALSE)</f>
        <v>Conduite Manuscopique Cat.9 CACES R372M</v>
      </c>
      <c r="H1225">
        <v>14</v>
      </c>
    </row>
    <row r="1226" spans="1:8" x14ac:dyDescent="0.25">
      <c r="A1226">
        <v>348</v>
      </c>
      <c r="B1226" t="s">
        <v>122</v>
      </c>
      <c r="C1226">
        <v>2019</v>
      </c>
      <c r="F1226" s="13">
        <v>1018</v>
      </c>
      <c r="G1226" t="str">
        <f>VLOOKUP(F1226,'Liste Formations'!$A$5:$B$182,2,FALSE)</f>
        <v>AQI Chaufferies - Agent Qualifié d'Intervention en chaufferies</v>
      </c>
      <c r="H1226">
        <v>7</v>
      </c>
    </row>
    <row r="1227" spans="1:8" x14ac:dyDescent="0.25">
      <c r="A1227">
        <v>348</v>
      </c>
      <c r="B1227" t="s">
        <v>122</v>
      </c>
      <c r="C1227">
        <v>2019</v>
      </c>
      <c r="F1227" s="13">
        <v>2007</v>
      </c>
      <c r="G1227" t="str">
        <f>VLOOKUP(F1227,'Liste Formations'!$A$5:$B$182,2,FALSE)</f>
        <v>ERP DIVALTO</v>
      </c>
      <c r="H1227">
        <v>2</v>
      </c>
    </row>
    <row r="1228" spans="1:8" x14ac:dyDescent="0.25">
      <c r="A1228">
        <v>348</v>
      </c>
      <c r="B1228" t="s">
        <v>122</v>
      </c>
      <c r="C1228">
        <v>2020</v>
      </c>
      <c r="F1228" s="13">
        <v>1004</v>
      </c>
      <c r="G1228" t="str">
        <f>VLOOKUP(F1228,'Liste Formations'!$A$5:$B$182,2,FALSE)</f>
        <v>Conduite Chariots Cat.3</v>
      </c>
      <c r="H1228">
        <v>7</v>
      </c>
    </row>
    <row r="1229" spans="1:8" x14ac:dyDescent="0.25">
      <c r="A1229">
        <v>348</v>
      </c>
      <c r="B1229" t="s">
        <v>122</v>
      </c>
      <c r="C1229">
        <v>2020</v>
      </c>
      <c r="F1229" s="13">
        <v>1017</v>
      </c>
      <c r="G1229" t="str">
        <f>VLOOKUP(F1229,'Liste Formations'!$A$5:$B$182,2,FALSE)</f>
        <v>R. S.S.T. Recyclage Sauveteurs Secourites du Travail</v>
      </c>
      <c r="H1229">
        <v>7</v>
      </c>
    </row>
    <row r="1230" spans="1:8" x14ac:dyDescent="0.25">
      <c r="A1230">
        <v>348</v>
      </c>
      <c r="B1230" t="s">
        <v>122</v>
      </c>
      <c r="C1230">
        <v>2020</v>
      </c>
      <c r="F1230" s="13">
        <v>2009</v>
      </c>
      <c r="G1230" t="str">
        <f>VLOOKUP(F1230,'Liste Formations'!$A$5:$B$182,2,FALSE)</f>
        <v>Concevoir des machines neuves directive 2006/42/CE - APAVE</v>
      </c>
      <c r="H1230">
        <v>28</v>
      </c>
    </row>
    <row r="1231" spans="1:8" x14ac:dyDescent="0.25">
      <c r="A1231">
        <v>348</v>
      </c>
      <c r="B1231" t="s">
        <v>122</v>
      </c>
      <c r="C1231">
        <v>2020</v>
      </c>
      <c r="F1231" s="13">
        <v>3032</v>
      </c>
      <c r="G1231" t="str">
        <f>VLOOKUP(F1231,'Liste Formations'!$A$5:$B$182,2,FALSE)</f>
        <v>Poste 1100</v>
      </c>
      <c r="H1231">
        <v>420</v>
      </c>
    </row>
    <row r="1232" spans="1:8" x14ac:dyDescent="0.25">
      <c r="A1232">
        <v>348</v>
      </c>
      <c r="B1232" t="s">
        <v>122</v>
      </c>
      <c r="C1232">
        <v>2021</v>
      </c>
      <c r="F1232" s="13">
        <v>1001</v>
      </c>
      <c r="G1232" t="str">
        <f>VLOOKUP(F1232,'Liste Formations'!$A$5:$B$182,2,FALSE)</f>
        <v>Conduite nacelle CACES R486A  Plate forme mobile</v>
      </c>
      <c r="H1232">
        <v>21</v>
      </c>
    </row>
    <row r="1233" spans="1:9" x14ac:dyDescent="0.25">
      <c r="A1233">
        <v>348</v>
      </c>
      <c r="B1233" t="s">
        <v>122</v>
      </c>
      <c r="C1233">
        <v>2021</v>
      </c>
      <c r="F1233" s="13">
        <v>1007</v>
      </c>
      <c r="G1233" t="str">
        <f>VLOOKUP(F1233,'Liste Formations'!$A$5:$B$182,2,FALSE)</f>
        <v>Habilitation électrique BR/BC/B2V/HOV</v>
      </c>
      <c r="H1233">
        <v>10.5</v>
      </c>
    </row>
    <row r="1234" spans="1:9" x14ac:dyDescent="0.25">
      <c r="A1234">
        <v>348</v>
      </c>
      <c r="B1234" t="s">
        <v>122</v>
      </c>
      <c r="C1234">
        <v>2022</v>
      </c>
      <c r="F1234" s="13">
        <v>1017</v>
      </c>
      <c r="G1234" t="str">
        <f>VLOOKUP(F1234,'Liste Formations'!$A$5:$B$182,2,FALSE)</f>
        <v>R. S.S.T. Recyclage Sauveteurs Secourites du Travail</v>
      </c>
      <c r="H1234">
        <v>7</v>
      </c>
    </row>
    <row r="1235" spans="1:9" x14ac:dyDescent="0.25">
      <c r="A1235">
        <v>348</v>
      </c>
      <c r="B1235" t="s">
        <v>122</v>
      </c>
      <c r="C1235">
        <v>2022</v>
      </c>
      <c r="F1235" s="13">
        <v>1018</v>
      </c>
      <c r="G1235" t="str">
        <f>VLOOKUP(F1235,'Liste Formations'!$A$5:$B$182,2,FALSE)</f>
        <v>AQI Chaufferies - Agent Qualifié d'Intervention en chaufferies</v>
      </c>
      <c r="H1235">
        <v>7</v>
      </c>
    </row>
    <row r="1236" spans="1:9" x14ac:dyDescent="0.25">
      <c r="A1236">
        <v>348</v>
      </c>
      <c r="B1236" t="s">
        <v>122</v>
      </c>
      <c r="C1236">
        <v>2023</v>
      </c>
      <c r="F1236" s="13">
        <v>1013</v>
      </c>
      <c r="G1236" t="str">
        <f>VLOOKUP(F1236,'Liste Formations'!$A$5:$B$182,2,FALSE)</f>
        <v>ATEX Niveau 1 (1E+1M) Electrique et Mécanique</v>
      </c>
      <c r="H1236">
        <v>14</v>
      </c>
    </row>
    <row r="1237" spans="1:9" x14ac:dyDescent="0.25">
      <c r="A1237">
        <v>348</v>
      </c>
      <c r="B1237" t="s">
        <v>122</v>
      </c>
      <c r="C1237">
        <v>2024</v>
      </c>
      <c r="F1237" s="13">
        <v>1017</v>
      </c>
      <c r="G1237" t="s">
        <v>208</v>
      </c>
      <c r="H1237">
        <v>7</v>
      </c>
    </row>
    <row r="1238" spans="1:9" x14ac:dyDescent="0.25">
      <c r="A1238">
        <v>348</v>
      </c>
      <c r="B1238" t="s">
        <v>122</v>
      </c>
      <c r="C1238">
        <v>2024</v>
      </c>
      <c r="F1238" s="13">
        <v>1018</v>
      </c>
      <c r="G1238" t="s">
        <v>209</v>
      </c>
      <c r="H1238">
        <v>7</v>
      </c>
    </row>
    <row r="1239" spans="1:9" x14ac:dyDescent="0.25">
      <c r="A1239">
        <v>348</v>
      </c>
      <c r="B1239" t="s">
        <v>122</v>
      </c>
      <c r="C1239">
        <v>2024</v>
      </c>
      <c r="F1239" s="13">
        <v>1007</v>
      </c>
      <c r="G1239" t="str">
        <f>VLOOKUP(F1239,'Liste Formations'!$A$5:$B$182,2,FALSE)</f>
        <v>Habilitation électrique BR/BC/B2V/HOV</v>
      </c>
      <c r="H1239">
        <v>10.5</v>
      </c>
    </row>
    <row r="1240" spans="1:9" x14ac:dyDescent="0.25">
      <c r="A1240">
        <v>348</v>
      </c>
      <c r="B1240" t="s">
        <v>122</v>
      </c>
      <c r="C1240">
        <v>2024</v>
      </c>
      <c r="F1240" s="13">
        <v>1008</v>
      </c>
      <c r="G1240" t="str">
        <f>VLOOKUP(F1240,'Liste Formations'!$A$5:$B$182,2,FALSE)</f>
        <v>Habilitation électrique HC/H2V/HE Manœuvre</v>
      </c>
      <c r="H1240">
        <v>7</v>
      </c>
    </row>
    <row r="1241" spans="1:9" x14ac:dyDescent="0.25">
      <c r="A1241">
        <v>348</v>
      </c>
      <c r="B1241" t="s">
        <v>122</v>
      </c>
      <c r="C1241">
        <v>2025</v>
      </c>
      <c r="D1241" s="18">
        <v>45912</v>
      </c>
      <c r="E1241" s="18">
        <v>45912</v>
      </c>
      <c r="F1241" s="13">
        <v>1004</v>
      </c>
      <c r="G1241" t="s">
        <v>206</v>
      </c>
      <c r="H1241">
        <v>7</v>
      </c>
      <c r="I1241" t="s">
        <v>314</v>
      </c>
    </row>
    <row r="1242" spans="1:9" x14ac:dyDescent="0.25">
      <c r="A1242">
        <v>348</v>
      </c>
      <c r="B1242" t="s">
        <v>122</v>
      </c>
      <c r="C1242">
        <v>2025</v>
      </c>
      <c r="D1242" s="18">
        <v>45982</v>
      </c>
      <c r="E1242" s="18">
        <v>45982</v>
      </c>
      <c r="F1242" s="13">
        <v>1003</v>
      </c>
      <c r="G1242" t="s">
        <v>205</v>
      </c>
      <c r="H1242">
        <v>7</v>
      </c>
      <c r="I1242" t="s">
        <v>280</v>
      </c>
    </row>
    <row r="1244" spans="1:9" x14ac:dyDescent="0.25">
      <c r="A1244">
        <v>399</v>
      </c>
      <c r="B1244" t="s">
        <v>123</v>
      </c>
      <c r="C1244">
        <v>2020</v>
      </c>
      <c r="F1244" s="13">
        <v>3032</v>
      </c>
      <c r="G1244" t="str">
        <f>VLOOKUP(F1244,'Liste Formations'!$A$5:$B$182,2,FALSE)</f>
        <v>Poste 1100</v>
      </c>
      <c r="H1244">
        <v>120</v>
      </c>
    </row>
    <row r="1245" spans="1:9" x14ac:dyDescent="0.25">
      <c r="A1245">
        <v>399</v>
      </c>
      <c r="B1245" t="s">
        <v>123</v>
      </c>
      <c r="C1245">
        <v>2020</v>
      </c>
      <c r="F1245" s="13">
        <v>3033</v>
      </c>
      <c r="G1245" t="str">
        <f>VLOOKUP(F1245,'Liste Formations'!$A$5:$B$182,2,FALSE)</f>
        <v>Poste 1101</v>
      </c>
      <c r="H1245">
        <v>120</v>
      </c>
    </row>
    <row r="1246" spans="1:9" x14ac:dyDescent="0.25">
      <c r="A1246">
        <v>399</v>
      </c>
      <c r="B1246" t="s">
        <v>123</v>
      </c>
      <c r="C1246">
        <v>2020</v>
      </c>
      <c r="F1246" s="13">
        <v>3034</v>
      </c>
      <c r="G1246" t="str">
        <f>VLOOKUP(F1246,'Liste Formations'!$A$5:$B$182,2,FALSE)</f>
        <v>Poste 1103</v>
      </c>
      <c r="H1246">
        <v>120</v>
      </c>
    </row>
    <row r="1247" spans="1:9" x14ac:dyDescent="0.25">
      <c r="A1247">
        <v>399</v>
      </c>
      <c r="B1247" t="s">
        <v>123</v>
      </c>
      <c r="C1247">
        <v>2020</v>
      </c>
      <c r="F1247" s="13">
        <v>3037</v>
      </c>
      <c r="G1247" t="str">
        <f>VLOOKUP(F1247,'Liste Formations'!$A$5:$B$182,2,FALSE)</f>
        <v>Poste 1121</v>
      </c>
      <c r="H1247">
        <v>120</v>
      </c>
    </row>
    <row r="1248" spans="1:9" x14ac:dyDescent="0.25">
      <c r="A1248">
        <v>399</v>
      </c>
      <c r="B1248" t="s">
        <v>123</v>
      </c>
      <c r="C1248">
        <v>2021</v>
      </c>
      <c r="F1248" s="13">
        <v>1004</v>
      </c>
      <c r="G1248" t="str">
        <f>VLOOKUP(F1248,'Liste Formations'!$A$5:$B$182,2,FALSE)</f>
        <v>Conduite Chariots Cat.3</v>
      </c>
      <c r="H1248">
        <v>7</v>
      </c>
    </row>
    <row r="1249" spans="1:9" x14ac:dyDescent="0.25">
      <c r="A1249">
        <v>399</v>
      </c>
      <c r="B1249" t="s">
        <v>123</v>
      </c>
      <c r="C1249">
        <v>2023</v>
      </c>
      <c r="F1249" s="13">
        <v>1016</v>
      </c>
      <c r="G1249" t="str">
        <f>VLOOKUP(F1249,'Liste Formations'!$A$5:$B$182,2,FALSE)</f>
        <v>S.S.T. Sauveteurs Secourites du Travail</v>
      </c>
      <c r="H1249">
        <v>14</v>
      </c>
    </row>
    <row r="1250" spans="1:9" x14ac:dyDescent="0.25">
      <c r="A1250">
        <v>399</v>
      </c>
      <c r="B1250" t="s">
        <v>123</v>
      </c>
      <c r="C1250">
        <v>2023</v>
      </c>
      <c r="F1250" s="13">
        <v>1024</v>
      </c>
      <c r="G1250" t="str">
        <f>VLOOKUP(F1250,'Liste Formations'!$A$5:$B$182,2,FALSE)</f>
        <v>Déversement granulés</v>
      </c>
      <c r="H1250">
        <v>0.5</v>
      </c>
    </row>
    <row r="1251" spans="1:9" x14ac:dyDescent="0.25">
      <c r="A1251">
        <v>399</v>
      </c>
      <c r="B1251" t="s">
        <v>123</v>
      </c>
      <c r="C1251">
        <v>2025</v>
      </c>
      <c r="D1251" s="18">
        <v>45814</v>
      </c>
      <c r="E1251" s="18">
        <v>45814</v>
      </c>
      <c r="F1251" s="13">
        <v>1017</v>
      </c>
      <c r="G1251" t="s">
        <v>208</v>
      </c>
      <c r="H1251" s="75">
        <v>7</v>
      </c>
      <c r="I1251" t="s">
        <v>290</v>
      </c>
    </row>
    <row r="1253" spans="1:9" x14ac:dyDescent="0.25">
      <c r="A1253">
        <v>412</v>
      </c>
      <c r="B1253" t="s">
        <v>124</v>
      </c>
      <c r="C1253">
        <v>2020</v>
      </c>
      <c r="F1253" s="13">
        <v>3012</v>
      </c>
      <c r="G1253" t="str">
        <f>VLOOKUP(F1253,'Liste Formations'!$A$5:$B$182,2,FALSE)</f>
        <v>Poste 900</v>
      </c>
      <c r="H1253">
        <v>352</v>
      </c>
    </row>
    <row r="1254" spans="1:9" x14ac:dyDescent="0.25">
      <c r="A1254">
        <v>412</v>
      </c>
      <c r="B1254" t="s">
        <v>124</v>
      </c>
      <c r="C1254">
        <v>2021</v>
      </c>
      <c r="F1254" s="13">
        <v>1004</v>
      </c>
      <c r="G1254" t="str">
        <f>VLOOKUP(F1254,'Liste Formations'!$A$5:$B$182,2,FALSE)</f>
        <v>Conduite Chariots Cat.3</v>
      </c>
      <c r="H1254">
        <v>7</v>
      </c>
    </row>
    <row r="1255" spans="1:9" x14ac:dyDescent="0.25">
      <c r="A1255">
        <v>412</v>
      </c>
      <c r="B1255" t="s">
        <v>124</v>
      </c>
      <c r="C1255">
        <v>2023</v>
      </c>
      <c r="F1255" s="13">
        <v>1009</v>
      </c>
      <c r="G1255" t="str">
        <f>VLOOKUP(F1255,'Liste Formations'!$A$5:$B$182,2,FALSE)</f>
        <v>Défibrillateur</v>
      </c>
      <c r="H1255">
        <v>2</v>
      </c>
    </row>
    <row r="1256" spans="1:9" x14ac:dyDescent="0.25">
      <c r="A1256">
        <v>412</v>
      </c>
      <c r="B1256" t="s">
        <v>124</v>
      </c>
      <c r="C1256">
        <v>2023</v>
      </c>
      <c r="F1256" s="13">
        <v>1010</v>
      </c>
      <c r="G1256" t="str">
        <f>VLOOKUP(F1256,'Liste Formations'!$A$5:$B$182,2,FALSE)</f>
        <v>Incendie</v>
      </c>
      <c r="H1256">
        <v>2</v>
      </c>
    </row>
    <row r="1257" spans="1:9" x14ac:dyDescent="0.25">
      <c r="A1257">
        <v>412</v>
      </c>
      <c r="B1257" t="s">
        <v>124</v>
      </c>
      <c r="C1257">
        <v>2023</v>
      </c>
      <c r="F1257" s="13">
        <v>1024</v>
      </c>
      <c r="G1257" t="str">
        <f>VLOOKUP(F1257,'Liste Formations'!$A$5:$B$182,2,FALSE)</f>
        <v>Déversement granulés</v>
      </c>
      <c r="H1257">
        <v>0.5</v>
      </c>
    </row>
    <row r="1258" spans="1:9" x14ac:dyDescent="0.25">
      <c r="A1258">
        <v>412</v>
      </c>
      <c r="B1258" t="s">
        <v>124</v>
      </c>
      <c r="C1258">
        <v>2023</v>
      </c>
      <c r="F1258" s="13">
        <v>1030</v>
      </c>
      <c r="G1258" t="str">
        <f>VLOOKUP(F1258,'Liste Formations'!$A$5:$B$182,2,FALSE)</f>
        <v>Utilisation PTI</v>
      </c>
      <c r="H1258">
        <v>0.5</v>
      </c>
    </row>
    <row r="1259" spans="1:9" x14ac:dyDescent="0.25">
      <c r="A1259" s="75"/>
    </row>
    <row r="1260" spans="1:9" x14ac:dyDescent="0.25">
      <c r="A1260">
        <v>497</v>
      </c>
      <c r="B1260" t="s">
        <v>276</v>
      </c>
      <c r="C1260">
        <v>2025</v>
      </c>
      <c r="D1260" s="18">
        <v>45725</v>
      </c>
      <c r="E1260" s="18">
        <v>45756</v>
      </c>
      <c r="F1260" s="13">
        <v>3040</v>
      </c>
      <c r="G1260" s="15" t="s">
        <v>27</v>
      </c>
      <c r="H1260" s="75">
        <v>105</v>
      </c>
      <c r="I1260" t="s">
        <v>308</v>
      </c>
    </row>
    <row r="1261" spans="1:9" x14ac:dyDescent="0.25">
      <c r="A1261">
        <v>497</v>
      </c>
      <c r="B1261" t="s">
        <v>276</v>
      </c>
      <c r="C1261">
        <v>2025</v>
      </c>
      <c r="D1261" s="18">
        <v>45814</v>
      </c>
      <c r="E1261" s="18">
        <v>45814</v>
      </c>
      <c r="F1261" s="13">
        <v>2031</v>
      </c>
      <c r="G1261" s="15" t="s">
        <v>180</v>
      </c>
      <c r="H1261" s="75">
        <v>2</v>
      </c>
      <c r="I1261" t="s">
        <v>304</v>
      </c>
    </row>
    <row r="1263" spans="1:9" x14ac:dyDescent="0.25">
      <c r="A1263">
        <v>157</v>
      </c>
      <c r="B1263" t="s">
        <v>125</v>
      </c>
      <c r="C1263">
        <v>2011</v>
      </c>
      <c r="F1263" s="13">
        <v>2001</v>
      </c>
      <c r="G1263" t="str">
        <f>VLOOKUP(F1263,'Liste Formations'!$A$5:$B$182,2,FALSE)</f>
        <v>IFOCA le mélangeage</v>
      </c>
      <c r="H1263">
        <v>42</v>
      </c>
    </row>
    <row r="1264" spans="1:9" x14ac:dyDescent="0.25">
      <c r="A1264">
        <v>157</v>
      </c>
      <c r="B1264" t="s">
        <v>125</v>
      </c>
      <c r="C1264">
        <v>2011</v>
      </c>
      <c r="F1264" s="13">
        <v>3002</v>
      </c>
      <c r="G1264" t="str">
        <f>VLOOKUP(F1264,'Liste Formations'!$A$5:$B$182,2,FALSE)</f>
        <v>Poste 507</v>
      </c>
      <c r="H1264">
        <v>151.66999999999999</v>
      </c>
    </row>
    <row r="1265" spans="1:8" x14ac:dyDescent="0.25">
      <c r="A1265">
        <v>157</v>
      </c>
      <c r="B1265" t="s">
        <v>125</v>
      </c>
      <c r="C1265">
        <v>2011</v>
      </c>
      <c r="F1265" s="13">
        <v>3003</v>
      </c>
      <c r="G1265" t="str">
        <f>VLOOKUP(F1265,'Liste Formations'!$A$5:$B$182,2,FALSE)</f>
        <v>Poste 509</v>
      </c>
      <c r="H1265">
        <v>151.66999999999999</v>
      </c>
    </row>
    <row r="1266" spans="1:8" x14ac:dyDescent="0.25">
      <c r="A1266">
        <v>157</v>
      </c>
      <c r="B1266" t="s">
        <v>125</v>
      </c>
      <c r="C1266">
        <v>2011</v>
      </c>
      <c r="F1266" s="13">
        <v>3004</v>
      </c>
      <c r="G1266" t="str">
        <f>VLOOKUP(F1266,'Liste Formations'!$A$5:$B$182,2,FALSE)</f>
        <v>Poste 510</v>
      </c>
      <c r="H1266">
        <v>151.66999999999999</v>
      </c>
    </row>
    <row r="1267" spans="1:8" x14ac:dyDescent="0.25">
      <c r="A1267">
        <v>157</v>
      </c>
      <c r="B1267" t="s">
        <v>125</v>
      </c>
      <c r="C1267">
        <v>2011</v>
      </c>
      <c r="F1267" s="13">
        <v>3006</v>
      </c>
      <c r="G1267" t="str">
        <f>VLOOKUP(F1267,'Liste Formations'!$A$5:$B$182,2,FALSE)</f>
        <v>Poste 515</v>
      </c>
      <c r="H1267">
        <v>151.66999999999999</v>
      </c>
    </row>
    <row r="1268" spans="1:8" x14ac:dyDescent="0.25">
      <c r="A1268">
        <v>157</v>
      </c>
      <c r="B1268" t="s">
        <v>125</v>
      </c>
      <c r="C1268">
        <v>2011</v>
      </c>
      <c r="F1268" s="13">
        <v>3039</v>
      </c>
      <c r="G1268" t="str">
        <f>VLOOKUP(F1268,'Liste Formations'!$A$5:$B$182,2,FALSE)</f>
        <v>Poste 1402</v>
      </c>
      <c r="H1268">
        <v>151.66999999999999</v>
      </c>
    </row>
    <row r="1269" spans="1:8" x14ac:dyDescent="0.25">
      <c r="A1269">
        <v>157</v>
      </c>
      <c r="B1269" t="s">
        <v>125</v>
      </c>
      <c r="C1269">
        <v>2011</v>
      </c>
      <c r="F1269" s="13">
        <v>3040</v>
      </c>
      <c r="G1269" t="str">
        <f>VLOOKUP(F1269,'Liste Formations'!$A$5:$B$182,2,FALSE)</f>
        <v>Poste 1404</v>
      </c>
      <c r="H1269">
        <v>151.66999999999999</v>
      </c>
    </row>
    <row r="1270" spans="1:8" x14ac:dyDescent="0.25">
      <c r="A1270">
        <v>157</v>
      </c>
      <c r="B1270" t="s">
        <v>125</v>
      </c>
      <c r="C1270">
        <v>2013</v>
      </c>
      <c r="F1270" s="13">
        <v>3002</v>
      </c>
      <c r="G1270" t="str">
        <f>VLOOKUP(F1270,'Liste Formations'!$A$5:$B$182,2,FALSE)</f>
        <v>Poste 507</v>
      </c>
      <c r="H1270">
        <v>151.66999999999999</v>
      </c>
    </row>
    <row r="1271" spans="1:8" x14ac:dyDescent="0.25">
      <c r="A1271">
        <v>157</v>
      </c>
      <c r="B1271" t="s">
        <v>125</v>
      </c>
      <c r="C1271">
        <v>2013</v>
      </c>
      <c r="F1271" s="13">
        <v>3003</v>
      </c>
      <c r="G1271" t="str">
        <f>VLOOKUP(F1271,'Liste Formations'!$A$5:$B$182,2,FALSE)</f>
        <v>Poste 509</v>
      </c>
      <c r="H1271">
        <v>151.66999999999999</v>
      </c>
    </row>
    <row r="1272" spans="1:8" x14ac:dyDescent="0.25">
      <c r="A1272">
        <v>157</v>
      </c>
      <c r="B1272" t="s">
        <v>125</v>
      </c>
      <c r="C1272">
        <v>2013</v>
      </c>
      <c r="F1272" s="13">
        <v>3006</v>
      </c>
      <c r="G1272" t="str">
        <f>VLOOKUP(F1272,'Liste Formations'!$A$5:$B$182,2,FALSE)</f>
        <v>Poste 515</v>
      </c>
      <c r="H1272">
        <v>151.66999999999999</v>
      </c>
    </row>
    <row r="1273" spans="1:8" x14ac:dyDescent="0.25">
      <c r="A1273">
        <v>157</v>
      </c>
      <c r="B1273" t="s">
        <v>125</v>
      </c>
      <c r="C1273">
        <v>2013</v>
      </c>
      <c r="F1273" s="13">
        <v>3039</v>
      </c>
      <c r="G1273" t="str">
        <f>VLOOKUP(F1273,'Liste Formations'!$A$5:$B$182,2,FALSE)</f>
        <v>Poste 1402</v>
      </c>
      <c r="H1273">
        <v>151.66999999999999</v>
      </c>
    </row>
    <row r="1274" spans="1:8" x14ac:dyDescent="0.25">
      <c r="A1274">
        <v>157</v>
      </c>
      <c r="B1274" t="s">
        <v>125</v>
      </c>
      <c r="C1274">
        <v>2013</v>
      </c>
      <c r="F1274" s="13">
        <v>3040</v>
      </c>
      <c r="G1274" t="str">
        <f>VLOOKUP(F1274,'Liste Formations'!$A$5:$B$182,2,FALSE)</f>
        <v>Poste 1404</v>
      </c>
      <c r="H1274">
        <v>151.66999999999999</v>
      </c>
    </row>
    <row r="1275" spans="1:8" x14ac:dyDescent="0.25">
      <c r="A1275">
        <v>157</v>
      </c>
      <c r="B1275" t="s">
        <v>125</v>
      </c>
      <c r="C1275">
        <v>2017</v>
      </c>
      <c r="F1275" s="13">
        <v>2007</v>
      </c>
      <c r="G1275" t="str">
        <f>VLOOKUP(F1275,'Liste Formations'!$A$5:$B$182,2,FALSE)</f>
        <v>ERP DIVALTO</v>
      </c>
      <c r="H1275">
        <v>2</v>
      </c>
    </row>
    <row r="1276" spans="1:8" x14ac:dyDescent="0.25">
      <c r="A1276">
        <v>157</v>
      </c>
      <c r="B1276" t="s">
        <v>125</v>
      </c>
      <c r="C1276">
        <v>2018</v>
      </c>
      <c r="F1276" s="13">
        <v>1009</v>
      </c>
      <c r="G1276" t="str">
        <f>VLOOKUP(F1276,'Liste Formations'!$A$5:$B$182,2,FALSE)</f>
        <v>Défibrillateur</v>
      </c>
      <c r="H1276">
        <v>3</v>
      </c>
    </row>
    <row r="1277" spans="1:8" x14ac:dyDescent="0.25">
      <c r="A1277">
        <v>157</v>
      </c>
      <c r="B1277" t="s">
        <v>125</v>
      </c>
      <c r="C1277">
        <v>2018</v>
      </c>
      <c r="F1277" s="13">
        <v>1010</v>
      </c>
      <c r="G1277" t="str">
        <f>VLOOKUP(F1277,'Liste Formations'!$A$5:$B$182,2,FALSE)</f>
        <v>Incendie</v>
      </c>
      <c r="H1277">
        <v>3</v>
      </c>
    </row>
    <row r="1278" spans="1:8" x14ac:dyDescent="0.25">
      <c r="A1278">
        <v>157</v>
      </c>
      <c r="B1278" t="s">
        <v>125</v>
      </c>
      <c r="C1278">
        <v>2018</v>
      </c>
      <c r="F1278" s="13">
        <v>3002</v>
      </c>
      <c r="G1278" t="str">
        <f>VLOOKUP(F1278,'Liste Formations'!$A$5:$B$182,2,FALSE)</f>
        <v>Poste 507</v>
      </c>
      <c r="H1278">
        <v>151.66999999999999</v>
      </c>
    </row>
    <row r="1279" spans="1:8" x14ac:dyDescent="0.25">
      <c r="A1279">
        <v>157</v>
      </c>
      <c r="B1279" t="s">
        <v>125</v>
      </c>
      <c r="C1279">
        <v>2018</v>
      </c>
      <c r="F1279" s="13">
        <v>3004</v>
      </c>
      <c r="G1279" t="str">
        <f>VLOOKUP(F1279,'Liste Formations'!$A$5:$B$182,2,FALSE)</f>
        <v>Poste 510</v>
      </c>
      <c r="H1279">
        <v>151.66999999999999</v>
      </c>
    </row>
    <row r="1280" spans="1:8" x14ac:dyDescent="0.25">
      <c r="A1280">
        <v>157</v>
      </c>
      <c r="B1280" t="s">
        <v>125</v>
      </c>
      <c r="C1280">
        <v>2018</v>
      </c>
      <c r="F1280" s="13">
        <v>3006</v>
      </c>
      <c r="G1280" t="str">
        <f>VLOOKUP(F1280,'Liste Formations'!$A$5:$B$182,2,FALSE)</f>
        <v>Poste 515</v>
      </c>
      <c r="H1280">
        <v>151.66999999999999</v>
      </c>
    </row>
    <row r="1281" spans="1:9" x14ac:dyDescent="0.25">
      <c r="A1281">
        <v>157</v>
      </c>
      <c r="B1281" t="s">
        <v>125</v>
      </c>
      <c r="C1281">
        <v>2018</v>
      </c>
      <c r="F1281" s="13">
        <v>3039</v>
      </c>
      <c r="G1281" t="str">
        <f>VLOOKUP(F1281,'Liste Formations'!$A$5:$B$182,2,FALSE)</f>
        <v>Poste 1402</v>
      </c>
      <c r="H1281">
        <v>151.66999999999999</v>
      </c>
    </row>
    <row r="1282" spans="1:9" x14ac:dyDescent="0.25">
      <c r="A1282">
        <v>157</v>
      </c>
      <c r="B1282" t="s">
        <v>125</v>
      </c>
      <c r="C1282">
        <v>2018</v>
      </c>
      <c r="F1282" s="13">
        <v>3040</v>
      </c>
      <c r="G1282" t="str">
        <f>VLOOKUP(F1282,'Liste Formations'!$A$5:$B$182,2,FALSE)</f>
        <v>Poste 1404</v>
      </c>
      <c r="H1282">
        <v>151.66999999999999</v>
      </c>
    </row>
    <row r="1283" spans="1:9" x14ac:dyDescent="0.25">
      <c r="A1283">
        <v>157</v>
      </c>
      <c r="B1283" t="s">
        <v>125</v>
      </c>
      <c r="C1283">
        <v>2019</v>
      </c>
      <c r="F1283" s="13">
        <v>3006</v>
      </c>
      <c r="G1283" t="str">
        <f>VLOOKUP(F1283,'Liste Formations'!$A$5:$B$182,2,FALSE)</f>
        <v>Poste 515</v>
      </c>
      <c r="H1283">
        <v>151.66999999999999</v>
      </c>
    </row>
    <row r="1284" spans="1:9" x14ac:dyDescent="0.25">
      <c r="A1284">
        <v>157</v>
      </c>
      <c r="B1284" t="s">
        <v>125</v>
      </c>
      <c r="C1284">
        <v>2019</v>
      </c>
      <c r="F1284" s="13">
        <v>3040</v>
      </c>
      <c r="G1284" t="str">
        <f>VLOOKUP(F1284,'Liste Formations'!$A$5:$B$182,2,FALSE)</f>
        <v>Poste 1404</v>
      </c>
      <c r="H1284">
        <v>151.66999999999999</v>
      </c>
    </row>
    <row r="1285" spans="1:9" x14ac:dyDescent="0.25">
      <c r="A1285">
        <v>157</v>
      </c>
      <c r="B1285" t="s">
        <v>125</v>
      </c>
      <c r="C1285">
        <v>2020</v>
      </c>
      <c r="F1285" s="13">
        <v>3026</v>
      </c>
      <c r="G1285" t="str">
        <f>VLOOKUP(F1285,'Liste Formations'!$A$5:$B$182,2,FALSE)</f>
        <v>Poste 940</v>
      </c>
      <c r="H1285">
        <v>231.67</v>
      </c>
    </row>
    <row r="1286" spans="1:9" x14ac:dyDescent="0.25">
      <c r="A1286">
        <v>157</v>
      </c>
      <c r="B1286" t="s">
        <v>125</v>
      </c>
      <c r="C1286">
        <v>2021</v>
      </c>
      <c r="F1286" s="13">
        <v>3026</v>
      </c>
      <c r="G1286" t="str">
        <f>VLOOKUP(F1286,'Liste Formations'!$A$5:$B$182,2,FALSE)</f>
        <v>Poste 940</v>
      </c>
      <c r="H1286">
        <v>151.66999999999999</v>
      </c>
    </row>
    <row r="1287" spans="1:9" x14ac:dyDescent="0.25">
      <c r="A1287">
        <v>157</v>
      </c>
      <c r="B1287" t="s">
        <v>125</v>
      </c>
      <c r="C1287">
        <v>2022</v>
      </c>
      <c r="F1287" s="13">
        <v>1004</v>
      </c>
      <c r="G1287" t="str">
        <f>VLOOKUP(F1287,'Liste Formations'!$A$5:$B$182,2,FALSE)</f>
        <v>Conduite Chariots Cat.3</v>
      </c>
      <c r="H1287">
        <v>7</v>
      </c>
    </row>
    <row r="1288" spans="1:9" x14ac:dyDescent="0.25">
      <c r="A1288">
        <v>157</v>
      </c>
      <c r="B1288" t="s">
        <v>125</v>
      </c>
      <c r="C1288">
        <v>2022</v>
      </c>
      <c r="F1288" s="13">
        <v>3026</v>
      </c>
      <c r="G1288" t="str">
        <f>VLOOKUP(F1288,'Liste Formations'!$A$5:$B$182,2,FALSE)</f>
        <v>Poste 940</v>
      </c>
      <c r="H1288">
        <v>151.66999999999999</v>
      </c>
    </row>
    <row r="1289" spans="1:9" x14ac:dyDescent="0.25">
      <c r="A1289">
        <v>157</v>
      </c>
      <c r="B1289" t="s">
        <v>125</v>
      </c>
      <c r="C1289">
        <v>2023</v>
      </c>
      <c r="F1289" s="13">
        <v>1004</v>
      </c>
      <c r="G1289" t="str">
        <f>VLOOKUP(F1289,'Liste Formations'!$A$5:$B$182,2,FALSE)</f>
        <v>Conduite Chariots Cat.3</v>
      </c>
      <c r="H1289">
        <v>7</v>
      </c>
    </row>
    <row r="1290" spans="1:9" x14ac:dyDescent="0.25">
      <c r="A1290">
        <v>157</v>
      </c>
      <c r="B1290" t="s">
        <v>125</v>
      </c>
      <c r="C1290">
        <v>2023</v>
      </c>
      <c r="F1290" s="13">
        <v>3015</v>
      </c>
      <c r="G1290" t="str">
        <f>VLOOKUP(F1290,'Liste Formations'!$A$5:$B$182,2,FALSE)</f>
        <v>Poste 903</v>
      </c>
      <c r="H1290">
        <v>151.66999999999999</v>
      </c>
    </row>
    <row r="1291" spans="1:9" x14ac:dyDescent="0.25">
      <c r="A1291">
        <v>157</v>
      </c>
      <c r="B1291" t="s">
        <v>125</v>
      </c>
      <c r="C1291">
        <v>2023</v>
      </c>
      <c r="F1291" s="13">
        <v>3022</v>
      </c>
      <c r="G1291" t="str">
        <f>VLOOKUP(F1291,'Liste Formations'!$A$5:$B$182,2,FALSE)</f>
        <v>Poste 920</v>
      </c>
      <c r="H1291">
        <v>151.66999999999999</v>
      </c>
    </row>
    <row r="1292" spans="1:9" x14ac:dyDescent="0.25">
      <c r="A1292">
        <v>157</v>
      </c>
      <c r="B1292" t="s">
        <v>125</v>
      </c>
      <c r="C1292">
        <v>2024</v>
      </c>
      <c r="F1292" s="13">
        <v>1009</v>
      </c>
      <c r="G1292" t="str">
        <f>VLOOKUP(F1292,'Liste Formations'!$A$5:$B$182,2,FALSE)</f>
        <v>Défibrillateur</v>
      </c>
      <c r="H1292">
        <v>2</v>
      </c>
    </row>
    <row r="1293" spans="1:9" x14ac:dyDescent="0.25">
      <c r="A1293">
        <v>157</v>
      </c>
      <c r="B1293" t="s">
        <v>125</v>
      </c>
      <c r="C1293">
        <v>2024</v>
      </c>
      <c r="F1293" s="13">
        <v>1010</v>
      </c>
      <c r="G1293" t="str">
        <f>VLOOKUP(F1293,'Liste Formations'!$A$5:$B$182,2,FALSE)</f>
        <v>Incendie</v>
      </c>
      <c r="H1293">
        <v>2</v>
      </c>
    </row>
    <row r="1294" spans="1:9" x14ac:dyDescent="0.25">
      <c r="A1294">
        <v>157</v>
      </c>
      <c r="B1294" t="s">
        <v>125</v>
      </c>
      <c r="C1294">
        <v>2024</v>
      </c>
      <c r="F1294" s="13">
        <v>3032</v>
      </c>
      <c r="G1294" t="str">
        <f>VLOOKUP(F1294,'Liste Formations'!$A$5:$B$182,2,FALSE)</f>
        <v>Poste 1100</v>
      </c>
      <c r="H1294">
        <v>35</v>
      </c>
    </row>
    <row r="1295" spans="1:9" x14ac:dyDescent="0.25">
      <c r="A1295">
        <v>157</v>
      </c>
      <c r="B1295" t="s">
        <v>125</v>
      </c>
      <c r="C1295">
        <v>2024</v>
      </c>
      <c r="F1295" s="13">
        <v>3037</v>
      </c>
      <c r="G1295" t="str">
        <f>VLOOKUP(F1295,'Liste Formations'!$A$5:$B$182,2,FALSE)</f>
        <v>Poste 1121</v>
      </c>
      <c r="H1295">
        <v>35</v>
      </c>
    </row>
    <row r="1296" spans="1:9" x14ac:dyDescent="0.25">
      <c r="A1296">
        <v>157</v>
      </c>
      <c r="B1296" t="s">
        <v>125</v>
      </c>
      <c r="C1296">
        <v>2025</v>
      </c>
      <c r="D1296" s="18">
        <v>45820</v>
      </c>
      <c r="E1296" s="18">
        <v>45820</v>
      </c>
      <c r="F1296" s="13">
        <v>2031</v>
      </c>
      <c r="G1296" s="15" t="s">
        <v>180</v>
      </c>
      <c r="H1296" s="75">
        <v>1.5</v>
      </c>
      <c r="I1296" t="s">
        <v>304</v>
      </c>
    </row>
    <row r="1298" spans="1:8" x14ac:dyDescent="0.25">
      <c r="A1298">
        <v>400</v>
      </c>
      <c r="B1298" t="s">
        <v>126</v>
      </c>
      <c r="C1298">
        <v>2020</v>
      </c>
      <c r="F1298" s="13">
        <v>3041</v>
      </c>
      <c r="G1298" t="str">
        <f>VLOOKUP(F1298,'Liste Formations'!$A$5:$B$182,2,FALSE)</f>
        <v>Poste 1405</v>
      </c>
      <c r="H1298">
        <v>360</v>
      </c>
    </row>
    <row r="1299" spans="1:8" x14ac:dyDescent="0.25">
      <c r="A1299">
        <v>400</v>
      </c>
      <c r="B1299" t="s">
        <v>126</v>
      </c>
      <c r="C1299">
        <v>2023</v>
      </c>
      <c r="F1299" s="13">
        <v>1002</v>
      </c>
      <c r="G1299" t="str">
        <f>VLOOKUP(F1299,'Liste Formations'!$A$5:$B$182,2,FALSE)</f>
        <v>Conduite Chariots Cat.3 et Cat.5</v>
      </c>
      <c r="H1299">
        <v>14</v>
      </c>
    </row>
    <row r="1300" spans="1:8" x14ac:dyDescent="0.25">
      <c r="A1300">
        <v>400</v>
      </c>
      <c r="B1300" t="s">
        <v>126</v>
      </c>
      <c r="C1300">
        <v>2023</v>
      </c>
      <c r="F1300" s="13">
        <v>1009</v>
      </c>
      <c r="G1300" t="str">
        <f>VLOOKUP(F1300,'Liste Formations'!$A$5:$B$182,2,FALSE)</f>
        <v>Défibrillateur</v>
      </c>
      <c r="H1300">
        <v>2</v>
      </c>
    </row>
    <row r="1301" spans="1:8" x14ac:dyDescent="0.25">
      <c r="A1301">
        <v>400</v>
      </c>
      <c r="B1301" t="s">
        <v>126</v>
      </c>
      <c r="C1301">
        <v>2023</v>
      </c>
      <c r="F1301" s="13">
        <v>1010</v>
      </c>
      <c r="G1301" t="str">
        <f>VLOOKUP(F1301,'Liste Formations'!$A$5:$B$182,2,FALSE)</f>
        <v>Incendie</v>
      </c>
      <c r="H1301">
        <v>2</v>
      </c>
    </row>
    <row r="1302" spans="1:8" x14ac:dyDescent="0.25">
      <c r="A1302">
        <v>400</v>
      </c>
      <c r="B1302" t="s">
        <v>126</v>
      </c>
      <c r="C1302">
        <v>2023</v>
      </c>
      <c r="F1302" s="13">
        <v>1014</v>
      </c>
      <c r="G1302" t="str">
        <f>VLOOKUP(F1302,'Liste Formations'!$A$5:$B$182,2,FALSE)</f>
        <v>Membres CSE</v>
      </c>
      <c r="H1302">
        <v>35</v>
      </c>
    </row>
    <row r="1303" spans="1:8" x14ac:dyDescent="0.25">
      <c r="A1303">
        <v>400</v>
      </c>
      <c r="B1303" t="s">
        <v>126</v>
      </c>
      <c r="C1303">
        <v>2023</v>
      </c>
      <c r="F1303" s="13">
        <v>1016</v>
      </c>
      <c r="G1303" t="str">
        <f>VLOOKUP(F1303,'Liste Formations'!$A$5:$B$182,2,FALSE)</f>
        <v>S.S.T. Sauveteurs Secourites du Travail</v>
      </c>
      <c r="H1303">
        <v>14</v>
      </c>
    </row>
    <row r="1304" spans="1:8" x14ac:dyDescent="0.25">
      <c r="A1304">
        <v>400</v>
      </c>
      <c r="B1304" t="s">
        <v>126</v>
      </c>
      <c r="C1304">
        <v>2023</v>
      </c>
      <c r="F1304" s="13">
        <v>3012</v>
      </c>
      <c r="G1304" t="str">
        <f>VLOOKUP(F1304,'Liste Formations'!$A$5:$B$182,2,FALSE)</f>
        <v>Poste 900</v>
      </c>
      <c r="H1304">
        <v>151.66999999999999</v>
      </c>
    </row>
    <row r="1305" spans="1:8" x14ac:dyDescent="0.25">
      <c r="A1305">
        <v>400</v>
      </c>
      <c r="B1305" t="s">
        <v>126</v>
      </c>
      <c r="C1305">
        <v>2023</v>
      </c>
      <c r="F1305" s="13">
        <v>3045</v>
      </c>
      <c r="G1305" t="str">
        <f>VLOOKUP(F1305,'Liste Formations'!$A$5:$B$182,2,FALSE)</f>
        <v xml:space="preserve">Poste de travail </v>
      </c>
      <c r="H1305">
        <v>151.66999999999999</v>
      </c>
    </row>
    <row r="1307" spans="1:8" x14ac:dyDescent="0.25">
      <c r="A1307">
        <v>183</v>
      </c>
      <c r="B1307" t="s">
        <v>127</v>
      </c>
      <c r="C1307">
        <v>2011</v>
      </c>
      <c r="F1307" s="13">
        <v>3002</v>
      </c>
      <c r="G1307" t="str">
        <f>VLOOKUP(F1307,'Liste Formations'!$A$5:$B$182,2,FALSE)</f>
        <v>Poste 507</v>
      </c>
      <c r="H1307">
        <v>151.66999999999999</v>
      </c>
    </row>
    <row r="1308" spans="1:8" x14ac:dyDescent="0.25">
      <c r="A1308">
        <v>183</v>
      </c>
      <c r="B1308" t="s">
        <v>127</v>
      </c>
      <c r="C1308">
        <v>2011</v>
      </c>
      <c r="F1308" s="13">
        <v>3040</v>
      </c>
      <c r="G1308" t="str">
        <f>VLOOKUP(F1308,'Liste Formations'!$A$5:$B$182,2,FALSE)</f>
        <v>Poste 1404</v>
      </c>
      <c r="H1308">
        <v>151.66999999999999</v>
      </c>
    </row>
    <row r="1309" spans="1:8" x14ac:dyDescent="0.25">
      <c r="A1309">
        <v>183</v>
      </c>
      <c r="B1309" t="s">
        <v>127</v>
      </c>
      <c r="C1309">
        <v>2011</v>
      </c>
      <c r="F1309" s="13">
        <v>3041</v>
      </c>
      <c r="G1309" t="str">
        <f>VLOOKUP(F1309,'Liste Formations'!$A$5:$B$182,2,FALSE)</f>
        <v>Poste 1405</v>
      </c>
      <c r="H1309">
        <v>151.66999999999999</v>
      </c>
    </row>
    <row r="1310" spans="1:8" x14ac:dyDescent="0.25">
      <c r="A1310">
        <v>183</v>
      </c>
      <c r="B1310" t="s">
        <v>127</v>
      </c>
      <c r="C1310">
        <v>2013</v>
      </c>
      <c r="F1310" s="13">
        <v>3002</v>
      </c>
      <c r="G1310" t="str">
        <f>VLOOKUP(F1310,'Liste Formations'!$A$5:$B$182,2,FALSE)</f>
        <v>Poste 507</v>
      </c>
      <c r="H1310">
        <v>151.66999999999999</v>
      </c>
    </row>
    <row r="1311" spans="1:8" x14ac:dyDescent="0.25">
      <c r="A1311">
        <v>183</v>
      </c>
      <c r="B1311" t="s">
        <v>127</v>
      </c>
      <c r="C1311">
        <v>2013</v>
      </c>
      <c r="F1311" s="13">
        <v>3040</v>
      </c>
      <c r="G1311" t="str">
        <f>VLOOKUP(F1311,'Liste Formations'!$A$5:$B$182,2,FALSE)</f>
        <v>Poste 1404</v>
      </c>
      <c r="H1311">
        <v>151.66999999999999</v>
      </c>
    </row>
    <row r="1312" spans="1:8" x14ac:dyDescent="0.25">
      <c r="A1312">
        <v>183</v>
      </c>
      <c r="B1312" t="s">
        <v>127</v>
      </c>
      <c r="C1312">
        <v>2013</v>
      </c>
      <c r="F1312" s="13">
        <v>3041</v>
      </c>
      <c r="G1312" t="str">
        <f>VLOOKUP(F1312,'Liste Formations'!$A$5:$B$182,2,FALSE)</f>
        <v>Poste 1405</v>
      </c>
      <c r="H1312">
        <v>151.66999999999999</v>
      </c>
    </row>
    <row r="1313" spans="1:8" x14ac:dyDescent="0.25">
      <c r="A1313">
        <v>183</v>
      </c>
      <c r="B1313" t="s">
        <v>127</v>
      </c>
      <c r="C1313">
        <v>2015</v>
      </c>
      <c r="F1313" s="13">
        <v>1010</v>
      </c>
      <c r="G1313" t="str">
        <f>VLOOKUP(F1313,'Liste Formations'!$A$5:$B$182,2,FALSE)</f>
        <v>Incendie</v>
      </c>
      <c r="H1313">
        <v>3</v>
      </c>
    </row>
    <row r="1314" spans="1:8" x14ac:dyDescent="0.25">
      <c r="A1314">
        <v>183</v>
      </c>
      <c r="B1314" t="s">
        <v>127</v>
      </c>
      <c r="C1314">
        <v>2015</v>
      </c>
      <c r="F1314" s="13">
        <v>2005</v>
      </c>
      <c r="G1314" t="str">
        <f>VLOOKUP(F1314,'Liste Formations'!$A$5:$B$182,2,FALSE)</f>
        <v>Formation LEAN</v>
      </c>
      <c r="H1314">
        <v>2</v>
      </c>
    </row>
    <row r="1315" spans="1:8" x14ac:dyDescent="0.25">
      <c r="A1315">
        <v>183</v>
      </c>
      <c r="B1315" t="s">
        <v>127</v>
      </c>
      <c r="C1315">
        <v>2015</v>
      </c>
      <c r="F1315" s="13">
        <v>3040</v>
      </c>
      <c r="G1315" t="str">
        <f>VLOOKUP(F1315,'Liste Formations'!$A$5:$B$182,2,FALSE)</f>
        <v>Poste 1404</v>
      </c>
      <c r="H1315">
        <v>151.66999999999999</v>
      </c>
    </row>
    <row r="1316" spans="1:8" x14ac:dyDescent="0.25">
      <c r="A1316">
        <v>183</v>
      </c>
      <c r="B1316" t="s">
        <v>127</v>
      </c>
      <c r="C1316">
        <v>2015</v>
      </c>
      <c r="F1316" s="13">
        <v>3041</v>
      </c>
      <c r="G1316" t="str">
        <f>VLOOKUP(F1316,'Liste Formations'!$A$5:$B$182,2,FALSE)</f>
        <v>Poste 1405</v>
      </c>
      <c r="H1316">
        <v>151.66999999999999</v>
      </c>
    </row>
    <row r="1317" spans="1:8" x14ac:dyDescent="0.25">
      <c r="A1317">
        <v>183</v>
      </c>
      <c r="B1317" t="s">
        <v>127</v>
      </c>
      <c r="C1317">
        <v>2017</v>
      </c>
      <c r="F1317" s="13">
        <v>3040</v>
      </c>
      <c r="G1317" t="str">
        <f>VLOOKUP(F1317,'Liste Formations'!$A$5:$B$182,2,FALSE)</f>
        <v>Poste 1404</v>
      </c>
      <c r="H1317">
        <v>151.66999999999999</v>
      </c>
    </row>
    <row r="1318" spans="1:8" x14ac:dyDescent="0.25">
      <c r="A1318">
        <v>183</v>
      </c>
      <c r="B1318" t="s">
        <v>127</v>
      </c>
      <c r="C1318">
        <v>2017</v>
      </c>
      <c r="F1318" s="13">
        <v>3041</v>
      </c>
      <c r="G1318" t="str">
        <f>VLOOKUP(F1318,'Liste Formations'!$A$5:$B$182,2,FALSE)</f>
        <v>Poste 1405</v>
      </c>
      <c r="H1318">
        <v>151.66999999999999</v>
      </c>
    </row>
    <row r="1319" spans="1:8" x14ac:dyDescent="0.25">
      <c r="A1319">
        <v>183</v>
      </c>
      <c r="B1319" t="s">
        <v>127</v>
      </c>
      <c r="C1319">
        <v>2017</v>
      </c>
      <c r="F1319" s="13">
        <v>2007</v>
      </c>
      <c r="G1319" t="str">
        <f>VLOOKUP(F1319,'Liste Formations'!$A$5:$B$182,2,FALSE)</f>
        <v>ERP DIVALTO</v>
      </c>
      <c r="H1319">
        <v>2.5</v>
      </c>
    </row>
    <row r="1320" spans="1:8" x14ac:dyDescent="0.25">
      <c r="A1320">
        <v>183</v>
      </c>
      <c r="B1320" t="s">
        <v>127</v>
      </c>
      <c r="C1320">
        <v>2018</v>
      </c>
      <c r="F1320" s="13">
        <v>1004</v>
      </c>
      <c r="G1320" t="str">
        <f>VLOOKUP(F1320,'Liste Formations'!$A$5:$B$182,2,FALSE)</f>
        <v>Conduite Chariots Cat.3</v>
      </c>
      <c r="H1320">
        <v>7</v>
      </c>
    </row>
    <row r="1321" spans="1:8" x14ac:dyDescent="0.25">
      <c r="A1321">
        <v>183</v>
      </c>
      <c r="B1321" t="s">
        <v>127</v>
      </c>
      <c r="C1321">
        <v>2018</v>
      </c>
      <c r="F1321" s="13">
        <v>3002</v>
      </c>
      <c r="G1321" t="str">
        <f>VLOOKUP(F1321,'Liste Formations'!$A$5:$B$182,2,FALSE)</f>
        <v>Poste 507</v>
      </c>
      <c r="H1321">
        <v>151.66999999999999</v>
      </c>
    </row>
    <row r="1322" spans="1:8" x14ac:dyDescent="0.25">
      <c r="A1322">
        <v>183</v>
      </c>
      <c r="B1322" t="s">
        <v>127</v>
      </c>
      <c r="C1322">
        <v>2018</v>
      </c>
      <c r="F1322" s="13">
        <v>3004</v>
      </c>
      <c r="G1322" t="str">
        <f>VLOOKUP(F1322,'Liste Formations'!$A$5:$B$182,2,FALSE)</f>
        <v>Poste 510</v>
      </c>
      <c r="H1322">
        <v>151.66999999999999</v>
      </c>
    </row>
    <row r="1323" spans="1:8" x14ac:dyDescent="0.25">
      <c r="A1323">
        <v>183</v>
      </c>
      <c r="B1323" t="s">
        <v>127</v>
      </c>
      <c r="C1323">
        <v>2018</v>
      </c>
      <c r="F1323" s="13">
        <v>3005</v>
      </c>
      <c r="G1323" t="str">
        <f>VLOOKUP(F1323,'Liste Formations'!$A$5:$B$182,2,FALSE)</f>
        <v>Poste 514</v>
      </c>
      <c r="H1323">
        <v>151.66999999999999</v>
      </c>
    </row>
    <row r="1324" spans="1:8" x14ac:dyDescent="0.25">
      <c r="A1324">
        <v>183</v>
      </c>
      <c r="B1324" t="s">
        <v>127</v>
      </c>
      <c r="C1324">
        <v>2018</v>
      </c>
      <c r="F1324" s="13">
        <v>3006</v>
      </c>
      <c r="G1324" t="str">
        <f>VLOOKUP(F1324,'Liste Formations'!$A$5:$B$182,2,FALSE)</f>
        <v>Poste 515</v>
      </c>
      <c r="H1324">
        <v>151.66999999999999</v>
      </c>
    </row>
    <row r="1325" spans="1:8" x14ac:dyDescent="0.25">
      <c r="A1325">
        <v>183</v>
      </c>
      <c r="B1325" t="s">
        <v>127</v>
      </c>
      <c r="C1325">
        <v>2019</v>
      </c>
      <c r="F1325" s="13">
        <v>1022</v>
      </c>
      <c r="G1325" t="str">
        <f>VLOOKUP(F1325,'Liste Formations'!$A$5:$B$182,2,FALSE)</f>
        <v>Sensibilisation au bruit</v>
      </c>
      <c r="H1325">
        <v>0.16</v>
      </c>
    </row>
    <row r="1326" spans="1:8" x14ac:dyDescent="0.25">
      <c r="A1326">
        <v>183</v>
      </c>
      <c r="B1326" t="s">
        <v>127</v>
      </c>
      <c r="C1326">
        <v>2019</v>
      </c>
      <c r="F1326" s="13">
        <v>3004</v>
      </c>
      <c r="G1326" t="str">
        <f>VLOOKUP(F1326,'Liste Formations'!$A$5:$B$182,2,FALSE)</f>
        <v>Poste 510</v>
      </c>
      <c r="H1326">
        <v>151.66999999999999</v>
      </c>
    </row>
    <row r="1327" spans="1:8" x14ac:dyDescent="0.25">
      <c r="A1327">
        <v>183</v>
      </c>
      <c r="B1327" t="s">
        <v>127</v>
      </c>
      <c r="C1327">
        <v>2019</v>
      </c>
      <c r="F1327" s="13">
        <v>3005</v>
      </c>
      <c r="G1327" t="str">
        <f>VLOOKUP(F1327,'Liste Formations'!$A$5:$B$182,2,FALSE)</f>
        <v>Poste 514</v>
      </c>
      <c r="H1327">
        <v>151.66999999999999</v>
      </c>
    </row>
    <row r="1328" spans="1:8" x14ac:dyDescent="0.25">
      <c r="A1328">
        <v>183</v>
      </c>
      <c r="B1328" t="s">
        <v>127</v>
      </c>
      <c r="C1328">
        <v>2019</v>
      </c>
      <c r="F1328" s="13">
        <v>3006</v>
      </c>
      <c r="G1328" t="str">
        <f>VLOOKUP(F1328,'Liste Formations'!$A$5:$B$182,2,FALSE)</f>
        <v>Poste 515</v>
      </c>
      <c r="H1328">
        <v>151.66999999999999</v>
      </c>
    </row>
    <row r="1329" spans="1:9" x14ac:dyDescent="0.25">
      <c r="A1329">
        <v>183</v>
      </c>
      <c r="B1329" t="s">
        <v>127</v>
      </c>
      <c r="C1329">
        <v>2019</v>
      </c>
      <c r="F1329" s="13">
        <v>3039</v>
      </c>
      <c r="G1329" t="str">
        <f>VLOOKUP(F1329,'Liste Formations'!$A$5:$B$182,2,FALSE)</f>
        <v>Poste 1402</v>
      </c>
      <c r="H1329">
        <v>151.66999999999999</v>
      </c>
    </row>
    <row r="1330" spans="1:9" x14ac:dyDescent="0.25">
      <c r="A1330">
        <v>183</v>
      </c>
      <c r="B1330" t="s">
        <v>127</v>
      </c>
      <c r="C1330">
        <v>2019</v>
      </c>
      <c r="F1330" s="13">
        <v>3040</v>
      </c>
      <c r="G1330" t="str">
        <f>VLOOKUP(F1330,'Liste Formations'!$A$5:$B$182,2,FALSE)</f>
        <v>Poste 1404</v>
      </c>
      <c r="H1330">
        <v>151.66999999999999</v>
      </c>
    </row>
    <row r="1331" spans="1:9" x14ac:dyDescent="0.25">
      <c r="A1331">
        <v>183</v>
      </c>
      <c r="B1331" t="s">
        <v>127</v>
      </c>
      <c r="C1331">
        <v>2019</v>
      </c>
      <c r="F1331" s="13">
        <v>3041</v>
      </c>
      <c r="G1331" t="str">
        <f>VLOOKUP(F1331,'Liste Formations'!$A$5:$B$182,2,FALSE)</f>
        <v>Poste 1405</v>
      </c>
      <c r="H1331">
        <v>151.66999999999999</v>
      </c>
    </row>
    <row r="1332" spans="1:9" x14ac:dyDescent="0.25">
      <c r="A1332">
        <v>183</v>
      </c>
      <c r="B1332" t="s">
        <v>127</v>
      </c>
      <c r="C1332">
        <v>2020</v>
      </c>
      <c r="F1332" s="13">
        <v>3026</v>
      </c>
      <c r="G1332" t="str">
        <f>VLOOKUP(F1332,'Liste Formations'!$A$5:$B$182,2,FALSE)</f>
        <v>Poste 940</v>
      </c>
      <c r="H1332">
        <v>24</v>
      </c>
    </row>
    <row r="1333" spans="1:9" x14ac:dyDescent="0.25">
      <c r="A1333">
        <v>183</v>
      </c>
      <c r="B1333" t="s">
        <v>127</v>
      </c>
      <c r="C1333">
        <v>2021</v>
      </c>
      <c r="F1333" s="13">
        <v>3015</v>
      </c>
      <c r="G1333" t="str">
        <f>VLOOKUP(F1333,'Liste Formations'!$A$5:$B$182,2,FALSE)</f>
        <v>Poste 903</v>
      </c>
      <c r="H1333">
        <v>151.66999999999999</v>
      </c>
    </row>
    <row r="1334" spans="1:9" x14ac:dyDescent="0.25">
      <c r="A1334">
        <v>183</v>
      </c>
      <c r="B1334" t="s">
        <v>127</v>
      </c>
      <c r="C1334">
        <v>2023</v>
      </c>
      <c r="F1334" s="13">
        <v>1004</v>
      </c>
      <c r="G1334" t="str">
        <f>VLOOKUP(F1334,'Liste Formations'!$A$5:$B$182,2,FALSE)</f>
        <v>Conduite Chariots Cat.3</v>
      </c>
      <c r="H1334">
        <v>7</v>
      </c>
    </row>
    <row r="1335" spans="1:9" x14ac:dyDescent="0.25">
      <c r="A1335">
        <v>183</v>
      </c>
      <c r="B1335" t="s">
        <v>127</v>
      </c>
      <c r="C1335">
        <v>2024</v>
      </c>
      <c r="F1335" s="13">
        <v>1009</v>
      </c>
      <c r="G1335" t="s">
        <v>221</v>
      </c>
      <c r="H1335">
        <v>2</v>
      </c>
    </row>
    <row r="1336" spans="1:9" x14ac:dyDescent="0.25">
      <c r="A1336">
        <v>183</v>
      </c>
      <c r="B1336" t="s">
        <v>127</v>
      </c>
      <c r="C1336">
        <v>2024</v>
      </c>
      <c r="F1336" s="13">
        <v>1010</v>
      </c>
      <c r="G1336" t="s">
        <v>222</v>
      </c>
      <c r="H1336">
        <v>2</v>
      </c>
    </row>
    <row r="1337" spans="1:9" x14ac:dyDescent="0.25">
      <c r="A1337">
        <v>183</v>
      </c>
      <c r="B1337" t="s">
        <v>127</v>
      </c>
      <c r="C1337">
        <v>2024</v>
      </c>
      <c r="F1337" s="13">
        <v>3037</v>
      </c>
      <c r="G1337" t="str">
        <f>VLOOKUP(F1337,'Liste Formations'!$A$5:$B$182,2,FALSE)</f>
        <v>Poste 1121</v>
      </c>
      <c r="H1337">
        <v>35</v>
      </c>
    </row>
    <row r="1338" spans="1:9" x14ac:dyDescent="0.25">
      <c r="A1338">
        <v>183</v>
      </c>
      <c r="B1338" t="s">
        <v>127</v>
      </c>
      <c r="C1338">
        <v>2025</v>
      </c>
      <c r="D1338" s="18">
        <v>45982</v>
      </c>
      <c r="E1338" s="18">
        <v>45982</v>
      </c>
      <c r="F1338" s="13">
        <v>1003</v>
      </c>
      <c r="G1338" t="s">
        <v>205</v>
      </c>
      <c r="H1338">
        <v>7</v>
      </c>
      <c r="I1338" t="s">
        <v>280</v>
      </c>
    </row>
    <row r="1340" spans="1:9" x14ac:dyDescent="0.25">
      <c r="A1340">
        <v>446</v>
      </c>
      <c r="B1340" t="s">
        <v>128</v>
      </c>
      <c r="C1340">
        <v>2022</v>
      </c>
      <c r="F1340" s="13">
        <v>1004</v>
      </c>
      <c r="G1340" t="str">
        <f>VLOOKUP(F1340,'Liste Formations'!$A$5:$B$182,2,FALSE)</f>
        <v>Conduite Chariots Cat.3</v>
      </c>
      <c r="H1340">
        <v>7</v>
      </c>
    </row>
    <row r="1341" spans="1:9" x14ac:dyDescent="0.25">
      <c r="A1341">
        <v>446</v>
      </c>
      <c r="B1341" t="s">
        <v>128</v>
      </c>
      <c r="C1341">
        <v>2022</v>
      </c>
      <c r="F1341" s="13">
        <v>3012</v>
      </c>
      <c r="G1341" t="str">
        <f>VLOOKUP(F1341,'Liste Formations'!$A$5:$B$182,2,FALSE)</f>
        <v>Poste 900</v>
      </c>
      <c r="H1341">
        <v>151.66999999999999</v>
      </c>
    </row>
    <row r="1342" spans="1:9" x14ac:dyDescent="0.25">
      <c r="A1342">
        <v>446</v>
      </c>
      <c r="B1342" t="s">
        <v>128</v>
      </c>
      <c r="C1342">
        <v>2023</v>
      </c>
      <c r="F1342" s="13">
        <v>1024</v>
      </c>
      <c r="G1342" t="str">
        <f>VLOOKUP(F1342,'Liste Formations'!$A$5:$B$182,2,FALSE)</f>
        <v>Déversement granulés</v>
      </c>
      <c r="H1342">
        <v>0.5</v>
      </c>
    </row>
    <row r="1343" spans="1:9" x14ac:dyDescent="0.25">
      <c r="A1343">
        <v>446</v>
      </c>
      <c r="B1343" t="s">
        <v>128</v>
      </c>
      <c r="C1343">
        <v>2023</v>
      </c>
      <c r="F1343" s="13">
        <v>1016</v>
      </c>
      <c r="G1343" t="str">
        <f>VLOOKUP(F1343,'Liste Formations'!$A$5:$B$182,2,FALSE)</f>
        <v>S.S.T. Sauveteurs Secourites du Travail</v>
      </c>
      <c r="H1343">
        <v>14</v>
      </c>
    </row>
    <row r="1344" spans="1:9" x14ac:dyDescent="0.25">
      <c r="A1344">
        <v>446</v>
      </c>
      <c r="B1344" t="s">
        <v>128</v>
      </c>
      <c r="C1344">
        <v>2023</v>
      </c>
      <c r="F1344" s="13">
        <v>1009</v>
      </c>
      <c r="G1344" t="str">
        <f>VLOOKUP(F1344,'Liste Formations'!$A$5:$B$182,2,FALSE)</f>
        <v>Défibrillateur</v>
      </c>
      <c r="H1344">
        <v>2</v>
      </c>
    </row>
    <row r="1345" spans="1:10" x14ac:dyDescent="0.25">
      <c r="A1345">
        <v>446</v>
      </c>
      <c r="B1345" t="s">
        <v>128</v>
      </c>
      <c r="C1345">
        <v>2023</v>
      </c>
      <c r="F1345" s="13">
        <v>1010</v>
      </c>
      <c r="G1345" t="str">
        <f>VLOOKUP(F1345,'Liste Formations'!$A$5:$B$182,2,FALSE)</f>
        <v>Incendie</v>
      </c>
      <c r="H1345">
        <v>2</v>
      </c>
    </row>
    <row r="1346" spans="1:10" x14ac:dyDescent="0.25">
      <c r="A1346">
        <v>446</v>
      </c>
      <c r="B1346" t="s">
        <v>128</v>
      </c>
      <c r="C1346">
        <v>2023</v>
      </c>
      <c r="F1346" s="13">
        <v>1002</v>
      </c>
      <c r="G1346" t="str">
        <f>VLOOKUP(F1346,'Liste Formations'!$A$5:$B$182,2,FALSE)</f>
        <v>Conduite Chariots Cat.3 et Cat.5</v>
      </c>
      <c r="H1346">
        <v>14</v>
      </c>
    </row>
    <row r="1347" spans="1:10" x14ac:dyDescent="0.25">
      <c r="A1347">
        <v>446</v>
      </c>
      <c r="B1347" t="s">
        <v>128</v>
      </c>
      <c r="C1347">
        <v>2024</v>
      </c>
      <c r="F1347" s="13">
        <v>1009</v>
      </c>
      <c r="G1347" t="str">
        <f>VLOOKUP(F1347,'Liste Formations'!$A$5:$B$182,2,FALSE)</f>
        <v>Défibrillateur</v>
      </c>
      <c r="H1347">
        <v>2</v>
      </c>
    </row>
    <row r="1348" spans="1:10" x14ac:dyDescent="0.25">
      <c r="A1348">
        <v>446</v>
      </c>
      <c r="B1348" t="s">
        <v>128</v>
      </c>
      <c r="C1348">
        <v>2024</v>
      </c>
      <c r="F1348" s="13">
        <v>1010</v>
      </c>
      <c r="G1348" t="str">
        <f>VLOOKUP(F1348,'Liste Formations'!$A$5:$B$182,2,FALSE)</f>
        <v>Incendie</v>
      </c>
      <c r="H1348">
        <v>2</v>
      </c>
    </row>
    <row r="1349" spans="1:10" x14ac:dyDescent="0.25">
      <c r="A1349">
        <v>446</v>
      </c>
      <c r="B1349" t="s">
        <v>128</v>
      </c>
      <c r="C1349">
        <v>2024</v>
      </c>
      <c r="F1349" s="13">
        <v>3032</v>
      </c>
      <c r="G1349" s="15" t="s">
        <v>30</v>
      </c>
      <c r="H1349" s="73">
        <v>35</v>
      </c>
      <c r="J1349" s="73"/>
    </row>
    <row r="1350" spans="1:10" x14ac:dyDescent="0.25">
      <c r="A1350">
        <v>446</v>
      </c>
      <c r="B1350" t="s">
        <v>128</v>
      </c>
      <c r="C1350">
        <v>2025</v>
      </c>
      <c r="D1350" s="18">
        <v>45814</v>
      </c>
      <c r="E1350" s="18">
        <v>45814</v>
      </c>
      <c r="F1350" s="13">
        <v>2031</v>
      </c>
      <c r="G1350" s="15" t="s">
        <v>180</v>
      </c>
      <c r="H1350" s="75">
        <v>2</v>
      </c>
      <c r="I1350" t="s">
        <v>304</v>
      </c>
    </row>
    <row r="1351" spans="1:10" x14ac:dyDescent="0.25">
      <c r="A1351">
        <v>446</v>
      </c>
      <c r="B1351" t="s">
        <v>128</v>
      </c>
      <c r="C1351">
        <v>2025</v>
      </c>
      <c r="D1351" s="18">
        <v>45926</v>
      </c>
      <c r="E1351" s="18">
        <v>45926</v>
      </c>
      <c r="F1351" s="13">
        <v>1017</v>
      </c>
      <c r="G1351" t="s">
        <v>303</v>
      </c>
      <c r="H1351">
        <v>7</v>
      </c>
      <c r="I1351" t="s">
        <v>314</v>
      </c>
    </row>
    <row r="1352" spans="1:10" x14ac:dyDescent="0.25">
      <c r="A1352">
        <v>446</v>
      </c>
      <c r="B1352" t="s">
        <v>128</v>
      </c>
      <c r="C1352">
        <v>2025</v>
      </c>
      <c r="D1352" s="18">
        <v>45929</v>
      </c>
      <c r="E1352" s="18">
        <v>45950</v>
      </c>
      <c r="F1352" s="13">
        <v>3043</v>
      </c>
      <c r="G1352" s="15" t="s">
        <v>44</v>
      </c>
      <c r="H1352" s="73">
        <v>105</v>
      </c>
      <c r="I1352" t="s">
        <v>308</v>
      </c>
    </row>
    <row r="1353" spans="1:10" x14ac:dyDescent="0.25">
      <c r="D1353" s="18"/>
      <c r="E1353" s="18"/>
    </row>
    <row r="1354" spans="1:10" x14ac:dyDescent="0.25">
      <c r="A1354">
        <v>483</v>
      </c>
      <c r="B1354" t="s">
        <v>129</v>
      </c>
      <c r="C1354">
        <v>2023</v>
      </c>
      <c r="F1354" s="13">
        <v>1009</v>
      </c>
      <c r="G1354" t="str">
        <f>VLOOKUP(F1354,'Liste Formations'!$A$5:$B$182,2,FALSE)</f>
        <v>Défibrillateur</v>
      </c>
      <c r="H1354" s="73">
        <v>2</v>
      </c>
    </row>
    <row r="1355" spans="1:10" x14ac:dyDescent="0.25">
      <c r="A1355">
        <v>483</v>
      </c>
      <c r="B1355" t="s">
        <v>129</v>
      </c>
      <c r="C1355">
        <v>2023</v>
      </c>
      <c r="F1355" s="13">
        <v>1010</v>
      </c>
      <c r="G1355" t="str">
        <f>VLOOKUP(F1355,'Liste Formations'!$A$5:$B$182,2,FALSE)</f>
        <v>Incendie</v>
      </c>
      <c r="H1355" s="73">
        <v>2</v>
      </c>
    </row>
    <row r="1356" spans="1:10" x14ac:dyDescent="0.25">
      <c r="A1356">
        <v>483</v>
      </c>
      <c r="B1356" t="s">
        <v>129</v>
      </c>
      <c r="C1356">
        <v>2023</v>
      </c>
      <c r="F1356" s="13">
        <v>3038</v>
      </c>
      <c r="G1356" t="str">
        <f>VLOOKUP(F1356,'Liste Formations'!$A$5:$B$182,2,FALSE)</f>
        <v>Poste 1401</v>
      </c>
      <c r="H1356" s="73">
        <v>151.66999999999999</v>
      </c>
    </row>
    <row r="1357" spans="1:10" ht="14.25" customHeight="1" x14ac:dyDescent="0.25">
      <c r="A1357">
        <v>483</v>
      </c>
      <c r="B1357" t="s">
        <v>129</v>
      </c>
      <c r="C1357">
        <v>2024</v>
      </c>
      <c r="F1357" s="13">
        <v>1020</v>
      </c>
      <c r="G1357" t="s">
        <v>202</v>
      </c>
      <c r="H1357">
        <v>3.5</v>
      </c>
    </row>
    <row r="1358" spans="1:10" x14ac:dyDescent="0.25">
      <c r="A1358">
        <v>483</v>
      </c>
      <c r="B1358" t="s">
        <v>129</v>
      </c>
      <c r="C1358">
        <v>2024</v>
      </c>
      <c r="F1358" s="13">
        <v>3001</v>
      </c>
      <c r="G1358" s="15" t="s">
        <v>23</v>
      </c>
      <c r="H1358" s="73">
        <v>140</v>
      </c>
      <c r="J1358" s="73"/>
    </row>
    <row r="1359" spans="1:10" x14ac:dyDescent="0.25">
      <c r="A1359">
        <v>483</v>
      </c>
      <c r="B1359" t="s">
        <v>129</v>
      </c>
      <c r="C1359">
        <v>2024</v>
      </c>
      <c r="D1359" s="18">
        <v>45642</v>
      </c>
      <c r="E1359" s="18">
        <v>45643</v>
      </c>
      <c r="F1359" s="13">
        <v>1006</v>
      </c>
      <c r="G1359" t="str">
        <f>VLOOKUP(F1359,'Liste Formations'!$A$5:$B$182,2,FALSE)</f>
        <v>Habilitation électrique BE Manœuvre BS</v>
      </c>
      <c r="H1359">
        <v>14</v>
      </c>
    </row>
    <row r="1360" spans="1:10" x14ac:dyDescent="0.25">
      <c r="A1360">
        <v>483</v>
      </c>
      <c r="B1360" t="s">
        <v>129</v>
      </c>
      <c r="C1360">
        <v>2025</v>
      </c>
      <c r="D1360" s="18">
        <v>45820</v>
      </c>
      <c r="E1360" s="18">
        <v>45820</v>
      </c>
      <c r="F1360" s="13">
        <v>2031</v>
      </c>
      <c r="G1360" s="15" t="s">
        <v>180</v>
      </c>
      <c r="H1360" s="75">
        <v>1.5</v>
      </c>
      <c r="I1360" t="s">
        <v>304</v>
      </c>
    </row>
    <row r="1361" spans="1:9" x14ac:dyDescent="0.25">
      <c r="D1361" s="18"/>
      <c r="E1361" s="18"/>
    </row>
    <row r="1362" spans="1:9" x14ac:dyDescent="0.25">
      <c r="A1362">
        <v>417</v>
      </c>
      <c r="B1362" t="s">
        <v>130</v>
      </c>
      <c r="C1362">
        <v>2021</v>
      </c>
      <c r="F1362" s="13">
        <v>1004</v>
      </c>
      <c r="G1362" t="str">
        <f>VLOOKUP(F1362,'Liste Formations'!$A$5:$B$182,2,FALSE)</f>
        <v>Conduite Chariots Cat.3</v>
      </c>
      <c r="H1362">
        <v>7</v>
      </c>
    </row>
    <row r="1363" spans="1:9" x14ac:dyDescent="0.25">
      <c r="A1363">
        <v>417</v>
      </c>
      <c r="B1363" t="s">
        <v>130</v>
      </c>
      <c r="C1363">
        <v>2021</v>
      </c>
      <c r="F1363" s="13">
        <v>1016</v>
      </c>
      <c r="G1363" t="str">
        <f>VLOOKUP(F1363,'Liste Formations'!$A$5:$B$182,2,FALSE)</f>
        <v>S.S.T. Sauveteurs Secourites du Travail</v>
      </c>
      <c r="H1363">
        <v>14</v>
      </c>
    </row>
    <row r="1364" spans="1:9" x14ac:dyDescent="0.25">
      <c r="A1364">
        <v>417</v>
      </c>
      <c r="B1364" t="s">
        <v>130</v>
      </c>
      <c r="C1364">
        <v>2022</v>
      </c>
      <c r="F1364" s="13">
        <v>2013</v>
      </c>
      <c r="G1364" t="str">
        <f>VLOOKUP(F1364,'Liste Formations'!$A$5:$B$182,2,FALSE)</f>
        <v>Auditeur interne ISO 9001/IATF</v>
      </c>
      <c r="H1364">
        <v>28</v>
      </c>
    </row>
    <row r="1365" spans="1:9" x14ac:dyDescent="0.25">
      <c r="A1365">
        <v>417</v>
      </c>
      <c r="B1365" t="s">
        <v>130</v>
      </c>
      <c r="C1365">
        <v>2023</v>
      </c>
      <c r="F1365" s="13">
        <v>1009</v>
      </c>
      <c r="G1365" t="str">
        <f>VLOOKUP(F1365,'Liste Formations'!$A$5:$B$182,2,FALSE)</f>
        <v>Défibrillateur</v>
      </c>
      <c r="H1365">
        <v>2</v>
      </c>
    </row>
    <row r="1366" spans="1:9" x14ac:dyDescent="0.25">
      <c r="A1366">
        <v>417</v>
      </c>
      <c r="B1366" t="s">
        <v>130</v>
      </c>
      <c r="C1366">
        <v>2023</v>
      </c>
      <c r="F1366" s="13">
        <v>1010</v>
      </c>
      <c r="G1366" t="str">
        <f>VLOOKUP(F1366,'Liste Formations'!$A$5:$B$182,2,FALSE)</f>
        <v>Incendie</v>
      </c>
      <c r="H1366">
        <v>2</v>
      </c>
    </row>
    <row r="1367" spans="1:9" x14ac:dyDescent="0.25">
      <c r="A1367">
        <v>417</v>
      </c>
      <c r="B1367" t="s">
        <v>130</v>
      </c>
      <c r="C1367">
        <v>2023</v>
      </c>
      <c r="F1367" s="13">
        <v>1017</v>
      </c>
      <c r="G1367" t="str">
        <f>VLOOKUP(F1367,'Liste Formations'!$A$5:$B$182,2,FALSE)</f>
        <v>R. S.S.T. Recyclage Sauveteurs Secourites du Travail</v>
      </c>
      <c r="H1367">
        <v>7</v>
      </c>
    </row>
    <row r="1368" spans="1:9" x14ac:dyDescent="0.25">
      <c r="A1368">
        <v>417</v>
      </c>
      <c r="B1368" t="s">
        <v>130</v>
      </c>
      <c r="C1368">
        <v>2023</v>
      </c>
      <c r="F1368" s="13">
        <v>2030</v>
      </c>
      <c r="G1368" t="str">
        <f>VLOOKUP(F1368,'Liste Formations'!$A$5:$B$182,2,FALSE)</f>
        <v>AMDEC</v>
      </c>
      <c r="H1368">
        <v>14</v>
      </c>
    </row>
    <row r="1369" spans="1:9" x14ac:dyDescent="0.25">
      <c r="A1369">
        <v>417</v>
      </c>
      <c r="B1369" t="s">
        <v>130</v>
      </c>
      <c r="C1369">
        <v>2023</v>
      </c>
      <c r="F1369" s="13">
        <v>2040</v>
      </c>
      <c r="G1369" t="str">
        <f>VLOOKUP(F1369,'Liste Formations'!$A$5:$B$182,2,FALSE)</f>
        <v xml:space="preserve">Anglais </v>
      </c>
      <c r="H1369">
        <v>7</v>
      </c>
    </row>
    <row r="1370" spans="1:9" x14ac:dyDescent="0.25">
      <c r="A1370">
        <v>417</v>
      </c>
      <c r="B1370" t="s">
        <v>130</v>
      </c>
      <c r="C1370">
        <v>2024</v>
      </c>
      <c r="F1370" s="13">
        <v>2040</v>
      </c>
      <c r="G1370" s="15" t="s">
        <v>183</v>
      </c>
      <c r="H1370">
        <v>23</v>
      </c>
    </row>
    <row r="1371" spans="1:9" x14ac:dyDescent="0.25">
      <c r="A1371">
        <v>417</v>
      </c>
      <c r="B1371" t="s">
        <v>130</v>
      </c>
      <c r="C1371">
        <v>2024</v>
      </c>
      <c r="F1371" s="13">
        <v>2015</v>
      </c>
      <c r="G1371" t="s">
        <v>197</v>
      </c>
      <c r="H1371">
        <v>7</v>
      </c>
    </row>
    <row r="1372" spans="1:9" x14ac:dyDescent="0.25">
      <c r="A1372">
        <v>417</v>
      </c>
      <c r="B1372" t="s">
        <v>130</v>
      </c>
      <c r="C1372">
        <v>2024</v>
      </c>
      <c r="F1372" s="13">
        <v>2016</v>
      </c>
      <c r="G1372" t="s">
        <v>176</v>
      </c>
      <c r="H1372">
        <v>28</v>
      </c>
    </row>
    <row r="1373" spans="1:9" x14ac:dyDescent="0.25">
      <c r="A1373">
        <v>417</v>
      </c>
      <c r="B1373" t="s">
        <v>130</v>
      </c>
      <c r="C1373">
        <v>2025</v>
      </c>
      <c r="D1373" s="18">
        <v>45695</v>
      </c>
      <c r="E1373" s="18">
        <v>45695</v>
      </c>
      <c r="F1373" s="13">
        <v>2050</v>
      </c>
      <c r="G1373" t="str">
        <f>VLOOKUP(F1373,'Liste Formations'!$A$5:$B$182,2,FALSE)</f>
        <v>Audit Process VDA point 6.2.1</v>
      </c>
      <c r="H1373" s="75">
        <v>1</v>
      </c>
      <c r="I1373" t="s">
        <v>310</v>
      </c>
    </row>
    <row r="1374" spans="1:9" x14ac:dyDescent="0.25">
      <c r="A1374">
        <v>417</v>
      </c>
      <c r="B1374" t="s">
        <v>130</v>
      </c>
      <c r="C1374">
        <v>2025</v>
      </c>
      <c r="D1374" s="18">
        <v>45813</v>
      </c>
      <c r="E1374" s="18">
        <v>45813</v>
      </c>
      <c r="F1374" s="13">
        <v>1017</v>
      </c>
      <c r="G1374" t="s">
        <v>208</v>
      </c>
      <c r="H1374" s="75">
        <v>7</v>
      </c>
      <c r="I1374" t="s">
        <v>280</v>
      </c>
    </row>
    <row r="1376" spans="1:9" x14ac:dyDescent="0.25">
      <c r="A1376">
        <v>191</v>
      </c>
      <c r="B1376" t="s">
        <v>270</v>
      </c>
      <c r="C1376">
        <v>2010</v>
      </c>
      <c r="F1376" s="13">
        <v>1018</v>
      </c>
      <c r="G1376" t="str">
        <f>VLOOKUP(F1376,'Liste Formations'!$A$5:$B$182,2,FALSE)</f>
        <v>AQI Chaufferies - Agent Qualifié d'Intervention en chaufferies</v>
      </c>
      <c r="H1376">
        <v>21</v>
      </c>
    </row>
    <row r="1377" spans="1:8" x14ac:dyDescent="0.25">
      <c r="A1377">
        <v>191</v>
      </c>
      <c r="B1377" t="s">
        <v>270</v>
      </c>
      <c r="C1377">
        <v>2011</v>
      </c>
      <c r="F1377" s="13">
        <v>1001</v>
      </c>
      <c r="G1377" t="str">
        <f>VLOOKUP(F1377,'Liste Formations'!$A$5:$B$182,2,FALSE)</f>
        <v>Conduite nacelle CACES R486A  Plate forme mobile</v>
      </c>
      <c r="H1377">
        <v>14</v>
      </c>
    </row>
    <row r="1378" spans="1:8" x14ac:dyDescent="0.25">
      <c r="A1378">
        <v>191</v>
      </c>
      <c r="B1378" t="s">
        <v>270</v>
      </c>
      <c r="C1378">
        <v>2011</v>
      </c>
      <c r="F1378" s="13">
        <v>2005</v>
      </c>
      <c r="G1378" t="str">
        <f>VLOOKUP(F1378,'Liste Formations'!$A$5:$B$182,2,FALSE)</f>
        <v>Formation LEAN</v>
      </c>
      <c r="H1378">
        <v>7</v>
      </c>
    </row>
    <row r="1379" spans="1:8" x14ac:dyDescent="0.25">
      <c r="A1379">
        <v>191</v>
      </c>
      <c r="B1379" t="s">
        <v>270</v>
      </c>
      <c r="C1379">
        <v>2012</v>
      </c>
      <c r="F1379" s="13">
        <v>1007</v>
      </c>
      <c r="G1379" t="str">
        <f>VLOOKUP(F1379,'Liste Formations'!$A$5:$B$182,2,FALSE)</f>
        <v>Habilitation électrique BR/BC/B2V/HOV</v>
      </c>
      <c r="H1379">
        <v>7</v>
      </c>
    </row>
    <row r="1380" spans="1:8" x14ac:dyDescent="0.25">
      <c r="A1380">
        <v>191</v>
      </c>
      <c r="B1380" t="s">
        <v>270</v>
      </c>
      <c r="C1380">
        <v>2013</v>
      </c>
      <c r="F1380" s="13">
        <v>1018</v>
      </c>
      <c r="G1380" t="str">
        <f>VLOOKUP(F1380,'Liste Formations'!$A$5:$B$182,2,FALSE)</f>
        <v>AQI Chaufferies - Agent Qualifié d'Intervention en chaufferies</v>
      </c>
      <c r="H1380">
        <v>7</v>
      </c>
    </row>
    <row r="1381" spans="1:8" x14ac:dyDescent="0.25">
      <c r="A1381">
        <v>191</v>
      </c>
      <c r="B1381" t="s">
        <v>270</v>
      </c>
      <c r="C1381">
        <v>2014</v>
      </c>
      <c r="F1381" s="13">
        <v>1011</v>
      </c>
      <c r="G1381" t="str">
        <f>VLOOKUP(F1381,'Liste Formations'!$A$5:$B$182,2,FALSE)</f>
        <v>UTI.COM - SSI / CHUBB</v>
      </c>
      <c r="H1381">
        <v>4</v>
      </c>
    </row>
    <row r="1382" spans="1:8" x14ac:dyDescent="0.25">
      <c r="A1382">
        <v>191</v>
      </c>
      <c r="B1382" t="s">
        <v>270</v>
      </c>
      <c r="C1382">
        <v>2014</v>
      </c>
      <c r="F1382" s="13">
        <v>2040</v>
      </c>
      <c r="G1382" t="str">
        <f>VLOOKUP(F1382,'Liste Formations'!$A$5:$B$182,2,FALSE)</f>
        <v xml:space="preserve">Anglais </v>
      </c>
      <c r="H1382">
        <v>40</v>
      </c>
    </row>
    <row r="1383" spans="1:8" x14ac:dyDescent="0.25">
      <c r="A1383">
        <v>191</v>
      </c>
      <c r="B1383" t="s">
        <v>270</v>
      </c>
      <c r="C1383">
        <v>2015</v>
      </c>
      <c r="F1383" s="13">
        <v>1007</v>
      </c>
      <c r="G1383" t="str">
        <f>VLOOKUP(F1383,'Liste Formations'!$A$5:$B$182,2,FALSE)</f>
        <v>Habilitation électrique BR/BC/B2V/HOV</v>
      </c>
      <c r="H1383">
        <v>7</v>
      </c>
    </row>
    <row r="1384" spans="1:8" x14ac:dyDescent="0.25">
      <c r="A1384">
        <v>191</v>
      </c>
      <c r="B1384" t="s">
        <v>270</v>
      </c>
      <c r="C1384">
        <v>2016</v>
      </c>
      <c r="F1384" s="13">
        <v>2007</v>
      </c>
      <c r="G1384" t="str">
        <f>VLOOKUP(F1384,'Liste Formations'!$A$5:$B$182,2,FALSE)</f>
        <v>ERP DIVALTO</v>
      </c>
      <c r="H1384">
        <v>14</v>
      </c>
    </row>
    <row r="1385" spans="1:8" x14ac:dyDescent="0.25">
      <c r="A1385">
        <v>191</v>
      </c>
      <c r="B1385" t="s">
        <v>270</v>
      </c>
      <c r="C1385">
        <v>2017</v>
      </c>
      <c r="F1385" s="13">
        <v>2007</v>
      </c>
      <c r="G1385" t="str">
        <f>VLOOKUP(F1385,'Liste Formations'!$A$5:$B$182,2,FALSE)</f>
        <v>ERP DIVALTO</v>
      </c>
      <c r="H1385">
        <v>14</v>
      </c>
    </row>
    <row r="1386" spans="1:8" x14ac:dyDescent="0.25">
      <c r="A1386">
        <v>191</v>
      </c>
      <c r="B1386" t="s">
        <v>270</v>
      </c>
      <c r="C1386">
        <v>2018</v>
      </c>
      <c r="F1386" s="13">
        <v>1001</v>
      </c>
      <c r="G1386" t="str">
        <f>VLOOKUP(F1386,'Liste Formations'!$A$5:$B$182,2,FALSE)</f>
        <v>Conduite nacelle CACES R486A  Plate forme mobile</v>
      </c>
      <c r="H1386">
        <v>7</v>
      </c>
    </row>
    <row r="1387" spans="1:8" x14ac:dyDescent="0.25">
      <c r="A1387">
        <v>191</v>
      </c>
      <c r="B1387" t="s">
        <v>270</v>
      </c>
      <c r="C1387">
        <v>2018</v>
      </c>
      <c r="F1387" s="13">
        <v>1004</v>
      </c>
      <c r="G1387" t="str">
        <f>VLOOKUP(F1387,'Liste Formations'!$A$5:$B$182,2,FALSE)</f>
        <v>Conduite Chariots Cat.3</v>
      </c>
      <c r="H1387">
        <v>7</v>
      </c>
    </row>
    <row r="1388" spans="1:8" x14ac:dyDescent="0.25">
      <c r="A1388">
        <v>191</v>
      </c>
      <c r="B1388" t="s">
        <v>270</v>
      </c>
      <c r="C1388">
        <v>2018</v>
      </c>
      <c r="F1388" s="13">
        <v>1007</v>
      </c>
      <c r="G1388" t="str">
        <f>VLOOKUP(F1388,'Liste Formations'!$A$5:$B$182,2,FALSE)</f>
        <v>Habilitation électrique BR/BC/B2V/HOV</v>
      </c>
      <c r="H1388">
        <v>14</v>
      </c>
    </row>
    <row r="1389" spans="1:8" x14ac:dyDescent="0.25">
      <c r="A1389">
        <v>191</v>
      </c>
      <c r="B1389" t="s">
        <v>270</v>
      </c>
      <c r="C1389">
        <v>2018</v>
      </c>
      <c r="F1389" s="13">
        <v>1020</v>
      </c>
      <c r="G1389" t="str">
        <f>VLOOKUP(F1389,'Liste Formations'!$A$5:$B$182,2,FALSE)</f>
        <v>Prévention TMS - Gestes Postures et Nutrition</v>
      </c>
      <c r="H1389">
        <v>3.5</v>
      </c>
    </row>
    <row r="1390" spans="1:8" x14ac:dyDescent="0.25">
      <c r="A1390">
        <v>191</v>
      </c>
      <c r="B1390" t="s">
        <v>270</v>
      </c>
      <c r="C1390">
        <v>2018</v>
      </c>
      <c r="F1390" s="13">
        <v>1021</v>
      </c>
      <c r="G1390" t="str">
        <f>VLOOKUP(F1390,'Liste Formations'!$A$5:$B$182,2,FALSE)</f>
        <v>Gestion du stress</v>
      </c>
      <c r="H1390">
        <v>4</v>
      </c>
    </row>
    <row r="1391" spans="1:8" x14ac:dyDescent="0.25">
      <c r="A1391">
        <v>191</v>
      </c>
      <c r="B1391" t="s">
        <v>270</v>
      </c>
      <c r="C1391">
        <v>2018</v>
      </c>
      <c r="F1391" s="13">
        <v>1026</v>
      </c>
      <c r="G1391" t="str">
        <f>VLOOKUP(F1391,'Liste Formations'!$A$5:$B$182,2,FALSE)</f>
        <v>Exposition Produits chimiques</v>
      </c>
      <c r="H1391">
        <v>7</v>
      </c>
    </row>
    <row r="1392" spans="1:8" x14ac:dyDescent="0.25">
      <c r="A1392">
        <v>191</v>
      </c>
      <c r="B1392" t="s">
        <v>270</v>
      </c>
      <c r="C1392">
        <v>2018</v>
      </c>
      <c r="F1392" s="13">
        <v>2006</v>
      </c>
      <c r="G1392" t="str">
        <f>VLOOKUP(F1392,'Liste Formations'!$A$5:$B$182,2,FALSE)</f>
        <v>Exposé TPM Maintenance Productive Totale</v>
      </c>
      <c r="H1392">
        <v>7</v>
      </c>
    </row>
    <row r="1393" spans="1:8" x14ac:dyDescent="0.25">
      <c r="A1393">
        <v>191</v>
      </c>
      <c r="B1393" t="s">
        <v>270</v>
      </c>
      <c r="C1393">
        <v>2019</v>
      </c>
      <c r="F1393" s="13">
        <v>1005</v>
      </c>
      <c r="G1393" t="str">
        <f>VLOOKUP(F1393,'Liste Formations'!$A$5:$B$182,2,FALSE)</f>
        <v>Conduite Manuscopique Cat.9 CACES R372M</v>
      </c>
      <c r="H1393">
        <v>14</v>
      </c>
    </row>
    <row r="1394" spans="1:8" x14ac:dyDescent="0.25">
      <c r="A1394">
        <v>191</v>
      </c>
      <c r="B1394" t="s">
        <v>270</v>
      </c>
      <c r="C1394">
        <v>2019</v>
      </c>
      <c r="F1394" s="13">
        <v>1018</v>
      </c>
      <c r="G1394" t="str">
        <f>VLOOKUP(F1394,'Liste Formations'!$A$5:$B$182,2,FALSE)</f>
        <v>AQI Chaufferies - Agent Qualifié d'Intervention en chaufferies</v>
      </c>
      <c r="H1394">
        <v>7</v>
      </c>
    </row>
    <row r="1395" spans="1:8" x14ac:dyDescent="0.25">
      <c r="A1395">
        <v>191</v>
      </c>
      <c r="B1395" t="s">
        <v>270</v>
      </c>
      <c r="C1395">
        <v>2019</v>
      </c>
      <c r="F1395" s="13">
        <v>2010</v>
      </c>
      <c r="G1395" t="str">
        <f>VLOOKUP(F1395,'Liste Formations'!$A$5:$B$182,2,FALSE)</f>
        <v>Manager leader</v>
      </c>
      <c r="H1395">
        <v>70</v>
      </c>
    </row>
    <row r="1396" spans="1:8" x14ac:dyDescent="0.25">
      <c r="A1396">
        <v>191</v>
      </c>
      <c r="B1396" t="s">
        <v>270</v>
      </c>
      <c r="C1396">
        <v>2020</v>
      </c>
      <c r="F1396" s="13">
        <v>2009</v>
      </c>
      <c r="G1396" t="str">
        <f>VLOOKUP(F1396,'Liste Formations'!$A$5:$B$182,2,FALSE)</f>
        <v>Concevoir des machines neuves directive 2006/42/CE - APAVE</v>
      </c>
      <c r="H1396">
        <v>28</v>
      </c>
    </row>
    <row r="1397" spans="1:8" x14ac:dyDescent="0.25">
      <c r="A1397">
        <v>191</v>
      </c>
      <c r="B1397" t="s">
        <v>270</v>
      </c>
      <c r="C1397">
        <v>2020</v>
      </c>
      <c r="F1397" s="13">
        <v>2010</v>
      </c>
      <c r="G1397" t="str">
        <f>VLOOKUP(F1397,'Liste Formations'!$A$5:$B$182,2,FALSE)</f>
        <v>Manager leader</v>
      </c>
      <c r="H1397">
        <v>70</v>
      </c>
    </row>
    <row r="1398" spans="1:8" x14ac:dyDescent="0.25">
      <c r="A1398">
        <v>191</v>
      </c>
      <c r="B1398" t="s">
        <v>270</v>
      </c>
      <c r="C1398">
        <v>2020</v>
      </c>
      <c r="F1398" s="13">
        <v>2017</v>
      </c>
      <c r="G1398" t="str">
        <f>VLOOKUP(F1398,'Liste Formations'!$A$5:$B$182,2,FALSE)</f>
        <v>Machine BATCH OFF/Lescuyer + Machines Calandrage</v>
      </c>
      <c r="H1398">
        <v>14</v>
      </c>
    </row>
    <row r="1399" spans="1:8" x14ac:dyDescent="0.25">
      <c r="A1399">
        <v>191</v>
      </c>
      <c r="B1399" t="s">
        <v>270</v>
      </c>
      <c r="C1399">
        <v>2022</v>
      </c>
      <c r="F1399" s="13">
        <v>1007</v>
      </c>
      <c r="G1399" t="str">
        <f>VLOOKUP(F1399,'Liste Formations'!$A$5:$B$182,2,FALSE)</f>
        <v>Habilitation électrique BR/BC/B2V/HOV</v>
      </c>
      <c r="H1399">
        <v>14</v>
      </c>
    </row>
    <row r="1400" spans="1:8" x14ac:dyDescent="0.25">
      <c r="A1400">
        <v>191</v>
      </c>
      <c r="B1400" t="s">
        <v>270</v>
      </c>
      <c r="C1400">
        <v>2022</v>
      </c>
      <c r="F1400" s="13">
        <v>1018</v>
      </c>
      <c r="G1400" t="str">
        <f>VLOOKUP(F1400,'Liste Formations'!$A$5:$B$182,2,FALSE)</f>
        <v>AQI Chaufferies - Agent Qualifié d'Intervention en chaufferies</v>
      </c>
      <c r="H1400">
        <v>7</v>
      </c>
    </row>
    <row r="1401" spans="1:8" x14ac:dyDescent="0.25">
      <c r="A1401">
        <v>191</v>
      </c>
      <c r="B1401" t="s">
        <v>270</v>
      </c>
      <c r="C1401">
        <v>2023</v>
      </c>
      <c r="F1401" s="13">
        <v>1003</v>
      </c>
      <c r="G1401" t="str">
        <f>VLOOKUP(F1401,'Liste Formations'!$A$5:$B$182,2,FALSE)</f>
        <v>Conduite Chariots Cat.5</v>
      </c>
      <c r="H1401">
        <v>3.5</v>
      </c>
    </row>
    <row r="1402" spans="1:8" x14ac:dyDescent="0.25">
      <c r="A1402">
        <v>191</v>
      </c>
      <c r="B1402" t="s">
        <v>270</v>
      </c>
      <c r="C1402">
        <v>2023</v>
      </c>
      <c r="F1402" s="13">
        <v>1004</v>
      </c>
      <c r="G1402" t="str">
        <f>VLOOKUP(F1402,'Liste Formations'!$A$5:$B$182,2,FALSE)</f>
        <v>Conduite Chariots Cat.3</v>
      </c>
      <c r="H1402">
        <v>7</v>
      </c>
    </row>
    <row r="1403" spans="1:8" x14ac:dyDescent="0.25">
      <c r="A1403">
        <v>191</v>
      </c>
      <c r="B1403" t="s">
        <v>270</v>
      </c>
      <c r="C1403">
        <v>2023</v>
      </c>
      <c r="F1403" s="13">
        <v>1013</v>
      </c>
      <c r="G1403" t="str">
        <f>VLOOKUP(F1403,'Liste Formations'!$A$5:$B$182,2,FALSE)</f>
        <v>ATEX Niveau 1 (1E+1M) Electrique et Mécanique</v>
      </c>
      <c r="H1403">
        <v>14</v>
      </c>
    </row>
    <row r="1404" spans="1:8" x14ac:dyDescent="0.25">
      <c r="A1404">
        <v>191</v>
      </c>
      <c r="B1404" t="s">
        <v>270</v>
      </c>
      <c r="C1404">
        <v>2023</v>
      </c>
      <c r="F1404" s="13">
        <v>2036</v>
      </c>
      <c r="G1404" t="str">
        <f>VLOOKUP(F1404,'Liste Formations'!$A$5:$B$182,2,FALSE)</f>
        <v>PROREFEI :
Référent
Energie</v>
      </c>
      <c r="H1404">
        <v>42</v>
      </c>
    </row>
    <row r="1405" spans="1:8" x14ac:dyDescent="0.25">
      <c r="A1405">
        <v>191</v>
      </c>
      <c r="B1405" t="s">
        <v>270</v>
      </c>
      <c r="C1405">
        <v>2024</v>
      </c>
      <c r="F1405" s="13">
        <v>1001</v>
      </c>
      <c r="G1405" t="s">
        <v>240</v>
      </c>
      <c r="H1405">
        <v>21</v>
      </c>
    </row>
    <row r="1406" spans="1:8" x14ac:dyDescent="0.25">
      <c r="A1406">
        <v>191</v>
      </c>
      <c r="B1406" t="s">
        <v>270</v>
      </c>
      <c r="C1406">
        <v>2024</v>
      </c>
      <c r="F1406" s="13">
        <v>2037</v>
      </c>
      <c r="G1406" s="15" t="s">
        <v>213</v>
      </c>
      <c r="H1406">
        <v>14</v>
      </c>
    </row>
    <row r="1407" spans="1:8" x14ac:dyDescent="0.25">
      <c r="A1407">
        <v>191</v>
      </c>
      <c r="B1407" t="s">
        <v>270</v>
      </c>
      <c r="C1407">
        <v>2024</v>
      </c>
      <c r="F1407" s="13">
        <v>3011</v>
      </c>
      <c r="G1407" s="15" t="s">
        <v>238</v>
      </c>
      <c r="H1407">
        <v>8</v>
      </c>
    </row>
    <row r="1408" spans="1:8" x14ac:dyDescent="0.25">
      <c r="A1408">
        <v>191</v>
      </c>
      <c r="B1408" t="s">
        <v>270</v>
      </c>
      <c r="C1408">
        <v>2024</v>
      </c>
      <c r="F1408" s="13">
        <v>1032</v>
      </c>
      <c r="G1408" t="str">
        <f>VLOOKUP(F1408,'Liste Formations'!$A$5:$B$182,2,FALSE)</f>
        <v>Sensibilisation RPS Risques Psychosociaux</v>
      </c>
      <c r="H1408">
        <v>2</v>
      </c>
    </row>
    <row r="1409" spans="1:9" x14ac:dyDescent="0.25">
      <c r="A1409">
        <v>191</v>
      </c>
      <c r="B1409" t="s">
        <v>270</v>
      </c>
      <c r="C1409">
        <v>2025</v>
      </c>
      <c r="D1409" s="18">
        <v>45684</v>
      </c>
      <c r="E1409" s="18">
        <v>45684</v>
      </c>
      <c r="F1409" s="13">
        <v>2049</v>
      </c>
      <c r="G1409" t="str">
        <f>VLOOKUP(F1409,'Liste Formations'!$A$5:$B$182,2,FALSE)</f>
        <v>Revue plan d'urgence et Revue analyse PIEU</v>
      </c>
      <c r="H1409" s="75">
        <v>0.5</v>
      </c>
      <c r="I1409" t="s">
        <v>309</v>
      </c>
    </row>
    <row r="1410" spans="1:9" x14ac:dyDescent="0.25">
      <c r="A1410">
        <v>191</v>
      </c>
      <c r="B1410" t="s">
        <v>270</v>
      </c>
      <c r="C1410">
        <v>2025</v>
      </c>
      <c r="D1410" s="18">
        <v>45750</v>
      </c>
      <c r="E1410" s="18">
        <v>45751</v>
      </c>
      <c r="F1410" s="13">
        <v>1007</v>
      </c>
      <c r="G1410" t="s">
        <v>284</v>
      </c>
      <c r="H1410" s="75">
        <v>10.5</v>
      </c>
      <c r="I1410" t="s">
        <v>280</v>
      </c>
    </row>
    <row r="1411" spans="1:9" x14ac:dyDescent="0.25">
      <c r="A1411">
        <v>191</v>
      </c>
      <c r="B1411" t="s">
        <v>270</v>
      </c>
      <c r="C1411">
        <v>2025</v>
      </c>
      <c r="D1411" s="18">
        <v>45776</v>
      </c>
      <c r="E1411" s="18">
        <v>45776</v>
      </c>
      <c r="F1411" s="13">
        <v>1008</v>
      </c>
      <c r="G1411" t="s">
        <v>241</v>
      </c>
      <c r="H1411" s="75">
        <v>7</v>
      </c>
      <c r="I1411" t="s">
        <v>280</v>
      </c>
    </row>
    <row r="1412" spans="1:9" x14ac:dyDescent="0.25">
      <c r="A1412">
        <v>191</v>
      </c>
      <c r="B1412" t="s">
        <v>270</v>
      </c>
      <c r="C1412">
        <v>2025</v>
      </c>
      <c r="D1412" s="18">
        <v>45959</v>
      </c>
      <c r="E1412" s="18">
        <v>45959</v>
      </c>
      <c r="F1412" s="13">
        <v>1018</v>
      </c>
      <c r="G1412" t="s">
        <v>209</v>
      </c>
      <c r="H1412">
        <v>7</v>
      </c>
      <c r="I1412" t="s">
        <v>312</v>
      </c>
    </row>
    <row r="1413" spans="1:9" x14ac:dyDescent="0.25">
      <c r="A1413">
        <v>191</v>
      </c>
      <c r="B1413" t="s">
        <v>270</v>
      </c>
      <c r="C1413">
        <v>2025</v>
      </c>
      <c r="D1413" s="18">
        <v>45930</v>
      </c>
      <c r="E1413" s="18">
        <v>45932</v>
      </c>
      <c r="F1413" s="13">
        <v>1019</v>
      </c>
      <c r="G1413" t="s">
        <v>237</v>
      </c>
      <c r="H1413" s="80">
        <v>21</v>
      </c>
      <c r="I1413" t="s">
        <v>319</v>
      </c>
    </row>
    <row r="1415" spans="1:9" x14ac:dyDescent="0.25">
      <c r="A1415">
        <v>39</v>
      </c>
      <c r="B1415" t="s">
        <v>131</v>
      </c>
      <c r="C1415">
        <v>2010</v>
      </c>
      <c r="F1415" s="13">
        <v>2048</v>
      </c>
      <c r="G1415" t="str">
        <f>VLOOKUP(F1415,'Liste Formations'!$A$5:$B$182,2,FALSE)</f>
        <v>IFOCA - Le Mélangeage de la Préparation au Contrôle : Les bonnes Pratiques à standardiser</v>
      </c>
      <c r="H1415">
        <v>42</v>
      </c>
    </row>
    <row r="1416" spans="1:9" x14ac:dyDescent="0.25">
      <c r="A1416">
        <v>39</v>
      </c>
      <c r="B1416" t="s">
        <v>131</v>
      </c>
      <c r="C1416">
        <v>2010</v>
      </c>
      <c r="F1416" s="13">
        <v>2015</v>
      </c>
      <c r="G1416" t="str">
        <f>VLOOKUP(F1416,'Liste Formations'!$A$5:$B$182,2,FALSE)</f>
        <v>Auditeur Produit</v>
      </c>
      <c r="H1416">
        <v>3.5</v>
      </c>
    </row>
    <row r="1417" spans="1:9" x14ac:dyDescent="0.25">
      <c r="A1417">
        <v>39</v>
      </c>
      <c r="B1417" t="s">
        <v>131</v>
      </c>
      <c r="C1417">
        <v>2011</v>
      </c>
      <c r="F1417" s="13">
        <v>2047</v>
      </c>
      <c r="G1417" t="str">
        <f>VLOOKUP(F1417,'Liste Formations'!$A$5:$B$182,2,FALSE)</f>
        <v>IFOCA - Le mélangeage : de la Matière Première à la Pièce Finie</v>
      </c>
      <c r="H1417">
        <v>42</v>
      </c>
    </row>
    <row r="1418" spans="1:9" x14ac:dyDescent="0.25">
      <c r="A1418">
        <v>39</v>
      </c>
      <c r="B1418" t="s">
        <v>131</v>
      </c>
      <c r="C1418">
        <v>2012</v>
      </c>
      <c r="F1418" s="13">
        <v>2004</v>
      </c>
      <c r="G1418" t="str">
        <f>VLOOKUP(F1418,'Liste Formations'!$A$5:$B$182,2,FALSE)</f>
        <v>Formation Moulage / Sté REP</v>
      </c>
      <c r="H1418">
        <v>21</v>
      </c>
    </row>
    <row r="1419" spans="1:9" x14ac:dyDescent="0.25">
      <c r="A1419">
        <v>39</v>
      </c>
      <c r="B1419" t="s">
        <v>131</v>
      </c>
      <c r="C1419">
        <v>2012</v>
      </c>
      <c r="F1419" s="13">
        <v>1015</v>
      </c>
      <c r="G1419" t="str">
        <f>VLOOKUP(F1419,'Liste Formations'!$A$5:$B$182,2,FALSE)</f>
        <v>Membres CHSCT</v>
      </c>
      <c r="H1419">
        <v>21</v>
      </c>
    </row>
    <row r="1420" spans="1:9" x14ac:dyDescent="0.25">
      <c r="A1420">
        <v>39</v>
      </c>
      <c r="B1420" t="s">
        <v>131</v>
      </c>
      <c r="C1420">
        <v>2013</v>
      </c>
      <c r="F1420" s="13">
        <v>1017</v>
      </c>
      <c r="G1420" t="str">
        <f>VLOOKUP(F1420,'Liste Formations'!$A$5:$B$182,2,FALSE)</f>
        <v>R. S.S.T. Recyclage Sauveteurs Secourites du Travail</v>
      </c>
      <c r="H1420">
        <v>4</v>
      </c>
    </row>
    <row r="1421" spans="1:9" x14ac:dyDescent="0.25">
      <c r="A1421">
        <v>39</v>
      </c>
      <c r="B1421" t="s">
        <v>131</v>
      </c>
      <c r="C1421">
        <v>2013</v>
      </c>
      <c r="F1421" s="13">
        <v>1025</v>
      </c>
      <c r="G1421" t="str">
        <f>VLOOKUP(F1421,'Liste Formations'!$A$5:$B$182,2,FALSE)</f>
        <v>Manipulation Nanocharges</v>
      </c>
      <c r="H1421">
        <v>0.5</v>
      </c>
    </row>
    <row r="1422" spans="1:9" x14ac:dyDescent="0.25">
      <c r="A1422">
        <v>39</v>
      </c>
      <c r="B1422" t="s">
        <v>131</v>
      </c>
      <c r="C1422">
        <v>2015</v>
      </c>
      <c r="F1422" s="13">
        <v>2024</v>
      </c>
      <c r="G1422" t="str">
        <f>VLOOKUP(F1422,'Liste Formations'!$A$5:$B$182,2,FALSE)</f>
        <v>Logiciel NEXIGEN+</v>
      </c>
      <c r="H1422">
        <v>7</v>
      </c>
    </row>
    <row r="1423" spans="1:9" x14ac:dyDescent="0.25">
      <c r="A1423">
        <v>39</v>
      </c>
      <c r="B1423" t="s">
        <v>131</v>
      </c>
      <c r="C1423">
        <v>2015</v>
      </c>
      <c r="F1423" s="13">
        <v>2041</v>
      </c>
      <c r="G1423" t="str">
        <f>VLOOKUP(F1423,'Liste Formations'!$A$5:$B$182,2,FALSE)</f>
        <v>Excel</v>
      </c>
      <c r="H1423">
        <v>24</v>
      </c>
    </row>
    <row r="1424" spans="1:9" x14ac:dyDescent="0.25">
      <c r="A1424">
        <v>39</v>
      </c>
      <c r="B1424" t="s">
        <v>131</v>
      </c>
      <c r="C1424">
        <v>2016</v>
      </c>
      <c r="F1424" s="13">
        <v>2007</v>
      </c>
      <c r="G1424" t="str">
        <f>VLOOKUP(F1424,'Liste Formations'!$A$5:$B$182,2,FALSE)</f>
        <v>ERP DIVALTO</v>
      </c>
      <c r="H1424">
        <v>7</v>
      </c>
    </row>
    <row r="1425" spans="1:9" x14ac:dyDescent="0.25">
      <c r="A1425">
        <v>39</v>
      </c>
      <c r="B1425" t="s">
        <v>131</v>
      </c>
      <c r="C1425">
        <v>2016</v>
      </c>
      <c r="F1425" s="13">
        <v>1017</v>
      </c>
      <c r="G1425" t="str">
        <f>VLOOKUP(F1425,'Liste Formations'!$A$5:$B$182,2,FALSE)</f>
        <v>R. S.S.T. Recyclage Sauveteurs Secourites du Travail</v>
      </c>
      <c r="H1425">
        <v>7</v>
      </c>
    </row>
    <row r="1426" spans="1:9" x14ac:dyDescent="0.25">
      <c r="A1426">
        <v>39</v>
      </c>
      <c r="B1426" t="s">
        <v>131</v>
      </c>
      <c r="C1426">
        <v>2016</v>
      </c>
      <c r="F1426" s="13">
        <v>1015</v>
      </c>
      <c r="G1426" t="str">
        <f>VLOOKUP(F1426,'Liste Formations'!$A$5:$B$182,2,FALSE)</f>
        <v>Membres CHSCT</v>
      </c>
      <c r="H1426">
        <v>21</v>
      </c>
    </row>
    <row r="1427" spans="1:9" x14ac:dyDescent="0.25">
      <c r="A1427">
        <v>39</v>
      </c>
      <c r="B1427" t="s">
        <v>131</v>
      </c>
      <c r="C1427">
        <v>2017</v>
      </c>
      <c r="F1427" s="13">
        <v>1009</v>
      </c>
      <c r="G1427" t="str">
        <f>VLOOKUP(F1427,'Liste Formations'!$A$5:$B$182,2,FALSE)</f>
        <v>Défibrillateur</v>
      </c>
      <c r="H1427">
        <v>2</v>
      </c>
    </row>
    <row r="1428" spans="1:9" x14ac:dyDescent="0.25">
      <c r="A1428">
        <v>39</v>
      </c>
      <c r="B1428" t="s">
        <v>131</v>
      </c>
      <c r="C1428">
        <v>2017</v>
      </c>
      <c r="F1428" s="13">
        <v>1017</v>
      </c>
      <c r="G1428" t="str">
        <f>VLOOKUP(F1428,'Liste Formations'!$A$5:$B$182,2,FALSE)</f>
        <v>R. S.S.T. Recyclage Sauveteurs Secourites du Travail</v>
      </c>
      <c r="H1428">
        <v>7</v>
      </c>
    </row>
    <row r="1429" spans="1:9" x14ac:dyDescent="0.25">
      <c r="A1429">
        <v>39</v>
      </c>
      <c r="B1429" t="s">
        <v>131</v>
      </c>
      <c r="C1429">
        <v>2019</v>
      </c>
      <c r="F1429" s="13">
        <v>1017</v>
      </c>
      <c r="G1429" t="str">
        <f>VLOOKUP(F1429,'Liste Formations'!$A$5:$B$182,2,FALSE)</f>
        <v>R. S.S.T. Recyclage Sauveteurs Secourites du Travail</v>
      </c>
      <c r="H1429">
        <v>7</v>
      </c>
    </row>
    <row r="1430" spans="1:9" x14ac:dyDescent="0.25">
      <c r="A1430">
        <v>39</v>
      </c>
      <c r="B1430" t="s">
        <v>131</v>
      </c>
      <c r="C1430">
        <v>2019</v>
      </c>
      <c r="F1430" s="13">
        <v>2021</v>
      </c>
      <c r="G1430" t="str">
        <f>VLOOKUP(F1430,'Liste Formations'!$A$5:$B$182,2,FALSE)</f>
        <v>ENTERPRISE / ALPHA TECHNOLOGIE</v>
      </c>
      <c r="H1430">
        <v>4</v>
      </c>
    </row>
    <row r="1431" spans="1:9" x14ac:dyDescent="0.25">
      <c r="A1431">
        <v>39</v>
      </c>
      <c r="B1431" t="s">
        <v>131</v>
      </c>
      <c r="C1431">
        <v>2021</v>
      </c>
      <c r="F1431" s="13">
        <v>1017</v>
      </c>
      <c r="G1431" t="str">
        <f>VLOOKUP(F1431,'Liste Formations'!$A$5:$B$182,2,FALSE)</f>
        <v>R. S.S.T. Recyclage Sauveteurs Secourites du Travail</v>
      </c>
      <c r="H1431">
        <v>7</v>
      </c>
    </row>
    <row r="1432" spans="1:9" x14ac:dyDescent="0.25">
      <c r="A1432">
        <v>39</v>
      </c>
      <c r="B1432" t="s">
        <v>131</v>
      </c>
      <c r="C1432">
        <v>2023</v>
      </c>
      <c r="F1432" s="13">
        <v>1017</v>
      </c>
      <c r="G1432" t="str">
        <f>VLOOKUP(F1432,'Liste Formations'!$A$5:$B$182,2,FALSE)</f>
        <v>R. S.S.T. Recyclage Sauveteurs Secourites du Travail</v>
      </c>
      <c r="H1432">
        <v>7</v>
      </c>
    </row>
    <row r="1433" spans="1:9" x14ac:dyDescent="0.25">
      <c r="A1433">
        <v>39</v>
      </c>
      <c r="B1433" t="s">
        <v>131</v>
      </c>
      <c r="C1433">
        <v>2023</v>
      </c>
      <c r="F1433" s="13">
        <v>1010</v>
      </c>
      <c r="G1433" t="s">
        <v>222</v>
      </c>
      <c r="H1433">
        <v>2</v>
      </c>
    </row>
    <row r="1434" spans="1:9" x14ac:dyDescent="0.25">
      <c r="A1434">
        <v>39</v>
      </c>
      <c r="B1434" t="s">
        <v>131</v>
      </c>
      <c r="C1434">
        <v>2023</v>
      </c>
      <c r="F1434" s="13">
        <v>1009</v>
      </c>
      <c r="G1434" t="str">
        <f>VLOOKUP(F1434,'Liste Formations'!$A$5:$B$182,2,FALSE)</f>
        <v>Défibrillateur</v>
      </c>
      <c r="H1434">
        <v>2</v>
      </c>
    </row>
    <row r="1435" spans="1:9" x14ac:dyDescent="0.25">
      <c r="A1435">
        <v>39</v>
      </c>
      <c r="B1435" t="s">
        <v>131</v>
      </c>
      <c r="C1435">
        <v>2025</v>
      </c>
      <c r="D1435" s="18">
        <v>45926</v>
      </c>
      <c r="E1435" s="18">
        <v>45926</v>
      </c>
      <c r="F1435" s="13">
        <v>1017</v>
      </c>
      <c r="G1435" t="s">
        <v>303</v>
      </c>
      <c r="H1435">
        <v>7</v>
      </c>
      <c r="I1435" t="s">
        <v>314</v>
      </c>
    </row>
    <row r="1436" spans="1:9" x14ac:dyDescent="0.25">
      <c r="D1436" s="18"/>
      <c r="E1436" s="18"/>
    </row>
    <row r="1437" spans="1:9" x14ac:dyDescent="0.25">
      <c r="D1437" s="18"/>
      <c r="E1437" s="18"/>
    </row>
    <row r="1438" spans="1:9" x14ac:dyDescent="0.25">
      <c r="A1438">
        <v>65</v>
      </c>
      <c r="B1438" t="s">
        <v>133</v>
      </c>
      <c r="C1438">
        <v>2019</v>
      </c>
      <c r="F1438" s="13">
        <v>1018</v>
      </c>
      <c r="G1438" t="str">
        <f>VLOOKUP(F1438,'Liste Formations'!$A$5:$B$182,2,FALSE)</f>
        <v>AQI Chaufferies - Agent Qualifié d'Intervention en chaufferies</v>
      </c>
      <c r="H1438">
        <v>3.5</v>
      </c>
    </row>
    <row r="1439" spans="1:9" x14ac:dyDescent="0.25">
      <c r="A1439">
        <v>65</v>
      </c>
      <c r="B1439" t="s">
        <v>133</v>
      </c>
      <c r="C1439">
        <v>2021</v>
      </c>
      <c r="F1439" s="13">
        <v>1029</v>
      </c>
      <c r="G1439" t="str">
        <f>VLOOKUP(F1439,'Liste Formations'!$A$5:$B$182,2,FALSE)</f>
        <v>ADR Transport de matières dangereuses</v>
      </c>
      <c r="H1439">
        <v>7</v>
      </c>
    </row>
    <row r="1440" spans="1:9" x14ac:dyDescent="0.25">
      <c r="A1440">
        <v>65</v>
      </c>
      <c r="B1440" t="s">
        <v>133</v>
      </c>
      <c r="C1440">
        <v>2023</v>
      </c>
      <c r="F1440" s="13">
        <v>1004</v>
      </c>
      <c r="G1440" t="str">
        <f>VLOOKUP(F1440,'Liste Formations'!$A$5:$B$182,2,FALSE)</f>
        <v>Conduite Chariots Cat.3</v>
      </c>
      <c r="H1440">
        <v>7</v>
      </c>
    </row>
    <row r="1441" spans="1:14" x14ac:dyDescent="0.25">
      <c r="A1441">
        <v>65</v>
      </c>
      <c r="B1441" t="s">
        <v>133</v>
      </c>
      <c r="C1441">
        <v>2023</v>
      </c>
      <c r="F1441" s="13">
        <v>1030</v>
      </c>
      <c r="G1441" t="str">
        <f>VLOOKUP(F1441,'Liste Formations'!$A$5:$B$182,2,FALSE)</f>
        <v>Utilisation PTI</v>
      </c>
      <c r="H1441">
        <v>0.5</v>
      </c>
    </row>
    <row r="1442" spans="1:14" x14ac:dyDescent="0.25">
      <c r="A1442">
        <v>65</v>
      </c>
      <c r="B1442" t="s">
        <v>133</v>
      </c>
      <c r="C1442">
        <v>2024</v>
      </c>
      <c r="F1442" s="13">
        <v>1016</v>
      </c>
      <c r="G1442" t="s">
        <v>207</v>
      </c>
      <c r="H1442">
        <v>14</v>
      </c>
    </row>
    <row r="1444" spans="1:14" x14ac:dyDescent="0.25">
      <c r="A1444">
        <v>435</v>
      </c>
      <c r="B1444" t="s">
        <v>135</v>
      </c>
      <c r="C1444">
        <v>2021</v>
      </c>
      <c r="F1444" s="13">
        <v>3015</v>
      </c>
      <c r="G1444" t="str">
        <f>VLOOKUP(F1444,'Liste Formations'!$A$5:$B$182,2,FALSE)</f>
        <v>Poste 903</v>
      </c>
      <c r="H1444">
        <v>151.66999999999999</v>
      </c>
    </row>
    <row r="1445" spans="1:14" x14ac:dyDescent="0.25">
      <c r="A1445">
        <v>435</v>
      </c>
      <c r="B1445" t="s">
        <v>135</v>
      </c>
      <c r="C1445">
        <v>2021</v>
      </c>
      <c r="F1445" s="13">
        <v>3037</v>
      </c>
      <c r="G1445" t="str">
        <f>VLOOKUP(F1445,'Liste Formations'!$A$5:$B$182,2,FALSE)</f>
        <v>Poste 1121</v>
      </c>
      <c r="H1445">
        <v>151.66999999999999</v>
      </c>
    </row>
    <row r="1446" spans="1:14" x14ac:dyDescent="0.25">
      <c r="A1446">
        <v>435</v>
      </c>
      <c r="B1446" t="s">
        <v>135</v>
      </c>
      <c r="C1446">
        <v>2023</v>
      </c>
      <c r="F1446" s="13">
        <v>3022</v>
      </c>
      <c r="G1446" t="str">
        <f>VLOOKUP(F1446,'Liste Formations'!$A$5:$B$182,2,FALSE)</f>
        <v>Poste 920</v>
      </c>
      <c r="H1446">
        <v>151.66999999999999</v>
      </c>
    </row>
    <row r="1447" spans="1:14" x14ac:dyDescent="0.25">
      <c r="A1447">
        <v>435</v>
      </c>
      <c r="B1447" t="s">
        <v>135</v>
      </c>
      <c r="C1447">
        <v>2024</v>
      </c>
      <c r="F1447" s="13">
        <v>1009</v>
      </c>
      <c r="G1447" t="str">
        <f>VLOOKUP(F1447,'Liste Formations'!$A$5:$B$182,2,FALSE)</f>
        <v>Défibrillateur</v>
      </c>
      <c r="H1447">
        <v>2</v>
      </c>
    </row>
    <row r="1448" spans="1:14" x14ac:dyDescent="0.25">
      <c r="A1448">
        <v>435</v>
      </c>
      <c r="B1448" t="s">
        <v>135</v>
      </c>
      <c r="C1448">
        <v>2024</v>
      </c>
      <c r="F1448" s="13">
        <v>1010</v>
      </c>
      <c r="G1448" t="str">
        <f>VLOOKUP(F1448,'Liste Formations'!$A$5:$B$182,2,FALSE)</f>
        <v>Incendie</v>
      </c>
      <c r="H1448">
        <v>2</v>
      </c>
      <c r="N1448" s="13"/>
    </row>
    <row r="1449" spans="1:14" x14ac:dyDescent="0.25">
      <c r="A1449">
        <v>435</v>
      </c>
      <c r="B1449" t="s">
        <v>135</v>
      </c>
      <c r="C1449">
        <v>2024</v>
      </c>
      <c r="F1449" s="13">
        <v>3037</v>
      </c>
      <c r="G1449" t="str">
        <f>VLOOKUP(F1449,'Liste Formations'!$A$5:$B$182,2,FALSE)</f>
        <v>Poste 1121</v>
      </c>
      <c r="H1449">
        <v>35</v>
      </c>
      <c r="N1449" s="13"/>
    </row>
    <row r="1450" spans="1:14" x14ac:dyDescent="0.25">
      <c r="A1450">
        <v>435</v>
      </c>
      <c r="B1450" t="s">
        <v>135</v>
      </c>
      <c r="C1450">
        <v>2025</v>
      </c>
      <c r="D1450" s="18">
        <v>45835</v>
      </c>
      <c r="E1450" s="18">
        <v>45842</v>
      </c>
      <c r="F1450" s="13">
        <v>1004</v>
      </c>
      <c r="G1450" t="s">
        <v>206</v>
      </c>
      <c r="H1450">
        <v>14</v>
      </c>
      <c r="I1450" t="s">
        <v>313</v>
      </c>
      <c r="N1450" s="13"/>
    </row>
    <row r="1452" spans="1:14" x14ac:dyDescent="0.25">
      <c r="A1452">
        <v>63</v>
      </c>
      <c r="B1452" t="s">
        <v>136</v>
      </c>
      <c r="C1452">
        <v>2012</v>
      </c>
      <c r="F1452" s="13">
        <v>1027</v>
      </c>
      <c r="G1452" t="str">
        <f>VLOOKUP(F1452,'Liste Formations'!$A$5:$B$182,2,FALSE)</f>
        <v>Déversement hydrocarbures - Tri déchets</v>
      </c>
      <c r="H1452">
        <v>1</v>
      </c>
    </row>
    <row r="1453" spans="1:14" x14ac:dyDescent="0.25">
      <c r="A1453">
        <v>63</v>
      </c>
      <c r="B1453" t="s">
        <v>136</v>
      </c>
      <c r="C1453">
        <v>2012</v>
      </c>
      <c r="F1453" s="13">
        <v>1003</v>
      </c>
      <c r="G1453" t="str">
        <f>VLOOKUP(F1453,'Liste Formations'!$A$5:$B$182,2,FALSE)</f>
        <v>Conduite Chariots Cat.5</v>
      </c>
      <c r="H1453">
        <v>7</v>
      </c>
    </row>
    <row r="1454" spans="1:14" x14ac:dyDescent="0.25">
      <c r="A1454">
        <v>63</v>
      </c>
      <c r="B1454" t="s">
        <v>136</v>
      </c>
      <c r="C1454">
        <v>2013</v>
      </c>
      <c r="F1454" s="13">
        <v>1026</v>
      </c>
      <c r="G1454" t="str">
        <f>VLOOKUP(F1454,'Liste Formations'!$A$5:$B$182,2,FALSE)</f>
        <v>Exposition Produits chimiques</v>
      </c>
      <c r="H1454">
        <v>1</v>
      </c>
    </row>
    <row r="1455" spans="1:14" x14ac:dyDescent="0.25">
      <c r="A1455">
        <v>63</v>
      </c>
      <c r="B1455" t="s">
        <v>136</v>
      </c>
      <c r="C1455">
        <v>2014</v>
      </c>
      <c r="F1455" s="13">
        <v>1001</v>
      </c>
      <c r="G1455" t="str">
        <f>VLOOKUP(F1455,'Liste Formations'!$A$5:$B$182,2,FALSE)</f>
        <v>Conduite nacelle CACES R486A  Plate forme mobile</v>
      </c>
      <c r="H1455">
        <v>7</v>
      </c>
    </row>
    <row r="1456" spans="1:14" x14ac:dyDescent="0.25">
      <c r="A1456">
        <v>63</v>
      </c>
      <c r="B1456" t="s">
        <v>136</v>
      </c>
      <c r="C1456">
        <v>2018</v>
      </c>
      <c r="F1456" s="13">
        <v>1004</v>
      </c>
      <c r="G1456" t="str">
        <f>VLOOKUP(F1456,'Liste Formations'!$A$5:$B$182,2,FALSE)</f>
        <v>Conduite Chariots Cat.3</v>
      </c>
      <c r="H1456">
        <v>7</v>
      </c>
    </row>
    <row r="1457" spans="1:9" x14ac:dyDescent="0.25">
      <c r="A1457">
        <v>63</v>
      </c>
      <c r="B1457" t="s">
        <v>136</v>
      </c>
      <c r="C1457">
        <v>2023</v>
      </c>
      <c r="F1457" s="13">
        <v>1004</v>
      </c>
      <c r="G1457" t="str">
        <f>VLOOKUP(F1457,'Liste Formations'!$A$5:$B$182,2,FALSE)</f>
        <v>Conduite Chariots Cat.3</v>
      </c>
      <c r="H1457">
        <v>7</v>
      </c>
    </row>
    <row r="1458" spans="1:9" x14ac:dyDescent="0.25">
      <c r="A1458">
        <v>63</v>
      </c>
      <c r="B1458" t="s">
        <v>136</v>
      </c>
      <c r="C1458">
        <v>2023</v>
      </c>
      <c r="F1458" s="13">
        <v>1024</v>
      </c>
      <c r="G1458" t="str">
        <f>VLOOKUP(F1458,'Liste Formations'!$A$5:$B$182,2,FALSE)</f>
        <v>Déversement granulés</v>
      </c>
      <c r="H1458">
        <v>0.5</v>
      </c>
    </row>
    <row r="1459" spans="1:9" x14ac:dyDescent="0.25">
      <c r="A1459">
        <v>63</v>
      </c>
      <c r="B1459" t="s">
        <v>136</v>
      </c>
      <c r="C1459">
        <v>2024</v>
      </c>
      <c r="F1459" s="13">
        <v>1016</v>
      </c>
      <c r="G1459" t="s">
        <v>207</v>
      </c>
      <c r="H1459">
        <v>14</v>
      </c>
    </row>
    <row r="1460" spans="1:9" x14ac:dyDescent="0.25">
      <c r="A1460">
        <v>63</v>
      </c>
      <c r="B1460" t="s">
        <v>136</v>
      </c>
      <c r="C1460">
        <v>2025</v>
      </c>
      <c r="D1460" s="18">
        <v>45982</v>
      </c>
      <c r="E1460" s="18">
        <v>45982</v>
      </c>
      <c r="F1460" s="13">
        <v>1003</v>
      </c>
      <c r="G1460" t="s">
        <v>205</v>
      </c>
      <c r="H1460">
        <v>7</v>
      </c>
      <c r="I1460" t="s">
        <v>280</v>
      </c>
    </row>
    <row r="1462" spans="1:9" x14ac:dyDescent="0.25">
      <c r="A1462">
        <v>456</v>
      </c>
      <c r="B1462" t="s">
        <v>137</v>
      </c>
      <c r="C1462">
        <v>2022</v>
      </c>
      <c r="F1462" s="13">
        <v>3002</v>
      </c>
      <c r="G1462" t="str">
        <f>VLOOKUP(F1462,'Liste Formations'!$A$5:$B$182,2,FALSE)</f>
        <v>Poste 507</v>
      </c>
      <c r="H1462">
        <v>151.66999999999999</v>
      </c>
    </row>
    <row r="1463" spans="1:9" x14ac:dyDescent="0.25">
      <c r="A1463">
        <v>456</v>
      </c>
      <c r="B1463" t="s">
        <v>137</v>
      </c>
      <c r="C1463">
        <v>2022</v>
      </c>
      <c r="F1463" s="13">
        <v>3004</v>
      </c>
      <c r="G1463" t="str">
        <f>VLOOKUP(F1463,'Liste Formations'!$A$5:$B$182,2,FALSE)</f>
        <v>Poste 510</v>
      </c>
      <c r="H1463">
        <v>151.66999999999999</v>
      </c>
    </row>
    <row r="1464" spans="1:9" x14ac:dyDescent="0.25">
      <c r="A1464">
        <v>456</v>
      </c>
      <c r="B1464" t="s">
        <v>137</v>
      </c>
      <c r="C1464">
        <v>2022</v>
      </c>
      <c r="F1464" s="13">
        <v>3006</v>
      </c>
      <c r="G1464" t="str">
        <f>VLOOKUP(F1464,'Liste Formations'!$A$5:$B$182,2,FALSE)</f>
        <v>Poste 515</v>
      </c>
      <c r="H1464">
        <v>151.66999999999999</v>
      </c>
    </row>
    <row r="1465" spans="1:9" x14ac:dyDescent="0.25">
      <c r="A1465">
        <v>456</v>
      </c>
      <c r="B1465" t="s">
        <v>137</v>
      </c>
      <c r="C1465">
        <v>2022</v>
      </c>
      <c r="F1465" s="13">
        <v>3007</v>
      </c>
      <c r="G1465" t="str">
        <f>VLOOKUP(F1465,'Liste Formations'!$A$5:$B$182,2,FALSE)</f>
        <v>Poste 516</v>
      </c>
      <c r="H1465">
        <v>151.66999999999999</v>
      </c>
    </row>
    <row r="1466" spans="1:9" x14ac:dyDescent="0.25">
      <c r="A1466">
        <v>456</v>
      </c>
      <c r="B1466" t="s">
        <v>137</v>
      </c>
      <c r="C1466">
        <v>2023</v>
      </c>
      <c r="F1466" s="13">
        <v>1004</v>
      </c>
      <c r="G1466" t="str">
        <f>VLOOKUP(F1466,'Liste Formations'!$A$5:$B$182,2,FALSE)</f>
        <v>Conduite Chariots Cat.3</v>
      </c>
      <c r="H1466">
        <v>10.5</v>
      </c>
    </row>
    <row r="1467" spans="1:9" x14ac:dyDescent="0.25">
      <c r="A1467">
        <v>456</v>
      </c>
      <c r="B1467" t="s">
        <v>137</v>
      </c>
      <c r="C1467">
        <v>2025</v>
      </c>
      <c r="D1467" s="18">
        <v>45723</v>
      </c>
      <c r="E1467" s="18">
        <v>45754</v>
      </c>
      <c r="F1467" s="13">
        <v>3008</v>
      </c>
      <c r="G1467" s="15" t="s">
        <v>33</v>
      </c>
      <c r="H1467" s="75">
        <v>35</v>
      </c>
      <c r="I1467" t="s">
        <v>308</v>
      </c>
    </row>
    <row r="1468" spans="1:9" x14ac:dyDescent="0.25">
      <c r="A1468">
        <v>456</v>
      </c>
      <c r="B1468" t="s">
        <v>137</v>
      </c>
      <c r="C1468">
        <v>2025</v>
      </c>
      <c r="D1468" s="18">
        <v>45723</v>
      </c>
      <c r="E1468" s="18">
        <v>45754</v>
      </c>
      <c r="F1468" s="63">
        <v>3048</v>
      </c>
      <c r="G1468" s="15" t="s">
        <v>277</v>
      </c>
      <c r="H1468" s="75">
        <v>30</v>
      </c>
      <c r="I1468" t="s">
        <v>308</v>
      </c>
    </row>
    <row r="1470" spans="1:9" x14ac:dyDescent="0.25">
      <c r="A1470">
        <v>59</v>
      </c>
      <c r="B1470" t="s">
        <v>138</v>
      </c>
      <c r="C1470">
        <v>2011</v>
      </c>
      <c r="F1470" s="13">
        <v>3002</v>
      </c>
      <c r="G1470" t="str">
        <f>VLOOKUP(F1470,'Liste Formations'!$A$5:$B$182,2,FALSE)</f>
        <v>Poste 507</v>
      </c>
      <c r="H1470">
        <v>151.66999999999999</v>
      </c>
    </row>
    <row r="1471" spans="1:9" x14ac:dyDescent="0.25">
      <c r="A1471">
        <v>59</v>
      </c>
      <c r="B1471" t="s">
        <v>138</v>
      </c>
      <c r="C1471">
        <v>2011</v>
      </c>
      <c r="F1471" s="13">
        <v>3039</v>
      </c>
      <c r="G1471" t="str">
        <f>VLOOKUP(F1471,'Liste Formations'!$A$5:$B$182,2,FALSE)</f>
        <v>Poste 1402</v>
      </c>
      <c r="H1471">
        <v>151.66999999999999</v>
      </c>
    </row>
    <row r="1472" spans="1:9" x14ac:dyDescent="0.25">
      <c r="A1472">
        <v>59</v>
      </c>
      <c r="B1472" t="s">
        <v>138</v>
      </c>
      <c r="C1472">
        <v>2012</v>
      </c>
      <c r="F1472" s="13">
        <v>1010</v>
      </c>
      <c r="G1472" t="str">
        <f>VLOOKUP(F1472,'Liste Formations'!$A$5:$B$182,2,FALSE)</f>
        <v>Incendie</v>
      </c>
      <c r="H1472">
        <v>2.5</v>
      </c>
    </row>
    <row r="1473" spans="1:8" x14ac:dyDescent="0.25">
      <c r="A1473">
        <v>59</v>
      </c>
      <c r="B1473" t="s">
        <v>138</v>
      </c>
      <c r="C1473">
        <v>2013</v>
      </c>
      <c r="F1473" s="13">
        <v>3039</v>
      </c>
      <c r="G1473" t="str">
        <f>VLOOKUP(F1473,'Liste Formations'!$A$5:$B$182,2,FALSE)</f>
        <v>Poste 1402</v>
      </c>
      <c r="H1473">
        <v>151.66999999999999</v>
      </c>
    </row>
    <row r="1474" spans="1:8" x14ac:dyDescent="0.25">
      <c r="A1474">
        <v>59</v>
      </c>
      <c r="B1474" t="s">
        <v>138</v>
      </c>
      <c r="C1474">
        <v>2017</v>
      </c>
      <c r="F1474" s="13">
        <v>3039</v>
      </c>
      <c r="G1474" t="str">
        <f>VLOOKUP(F1474,'Liste Formations'!$A$5:$B$182,2,FALSE)</f>
        <v>Poste 1402</v>
      </c>
      <c r="H1474">
        <v>151.66999999999999</v>
      </c>
    </row>
    <row r="1475" spans="1:8" x14ac:dyDescent="0.25">
      <c r="A1475">
        <v>59</v>
      </c>
      <c r="B1475" t="s">
        <v>138</v>
      </c>
      <c r="C1475">
        <v>2017</v>
      </c>
      <c r="F1475" s="13">
        <v>3002</v>
      </c>
      <c r="G1475" t="str">
        <f>VLOOKUP(F1475,'Liste Formations'!$A$5:$B$182,2,FALSE)</f>
        <v>Poste 507</v>
      </c>
      <c r="H1475">
        <v>151.66999999999999</v>
      </c>
    </row>
    <row r="1476" spans="1:8" x14ac:dyDescent="0.25">
      <c r="A1476">
        <v>59</v>
      </c>
      <c r="B1476" t="s">
        <v>138</v>
      </c>
      <c r="C1476">
        <v>2017</v>
      </c>
      <c r="F1476" s="13">
        <v>2007</v>
      </c>
      <c r="G1476" t="str">
        <f>VLOOKUP(F1476,'Liste Formations'!$A$5:$B$182,2,FALSE)</f>
        <v>ERP DIVALTO</v>
      </c>
      <c r="H1476">
        <v>7</v>
      </c>
    </row>
    <row r="1477" spans="1:8" x14ac:dyDescent="0.25">
      <c r="A1477">
        <v>59</v>
      </c>
      <c r="B1477" t="s">
        <v>138</v>
      </c>
      <c r="C1477">
        <v>2018</v>
      </c>
      <c r="F1477" s="13">
        <v>3006</v>
      </c>
      <c r="G1477" t="str">
        <f>VLOOKUP(F1477,'Liste Formations'!$A$5:$B$182,2,FALSE)</f>
        <v>Poste 515</v>
      </c>
      <c r="H1477">
        <v>151.66999999999999</v>
      </c>
    </row>
    <row r="1478" spans="1:8" x14ac:dyDescent="0.25">
      <c r="A1478">
        <v>59</v>
      </c>
      <c r="B1478" t="s">
        <v>138</v>
      </c>
      <c r="C1478">
        <v>2019</v>
      </c>
      <c r="F1478" s="13">
        <v>1022</v>
      </c>
      <c r="G1478" t="str">
        <f>VLOOKUP(F1478,'Liste Formations'!$A$5:$B$182,2,FALSE)</f>
        <v>Sensibilisation au bruit</v>
      </c>
      <c r="H1478">
        <v>0.16</v>
      </c>
    </row>
    <row r="1479" spans="1:8" x14ac:dyDescent="0.25">
      <c r="A1479">
        <v>59</v>
      </c>
      <c r="B1479" t="s">
        <v>138</v>
      </c>
      <c r="C1479">
        <v>2019</v>
      </c>
      <c r="F1479" s="13">
        <v>3002</v>
      </c>
      <c r="G1479" t="str">
        <f>VLOOKUP(F1479,'Liste Formations'!$A$5:$B$182,2,FALSE)</f>
        <v>Poste 507</v>
      </c>
      <c r="H1479">
        <v>151.66999999999999</v>
      </c>
    </row>
    <row r="1480" spans="1:8" x14ac:dyDescent="0.25">
      <c r="A1480">
        <v>59</v>
      </c>
      <c r="B1480" t="s">
        <v>138</v>
      </c>
      <c r="C1480">
        <v>2019</v>
      </c>
      <c r="F1480" s="13">
        <v>3006</v>
      </c>
      <c r="G1480" t="str">
        <f>VLOOKUP(F1480,'Liste Formations'!$A$5:$B$182,2,FALSE)</f>
        <v>Poste 515</v>
      </c>
      <c r="H1480">
        <v>151.66999999999999</v>
      </c>
    </row>
    <row r="1481" spans="1:8" x14ac:dyDescent="0.25">
      <c r="A1481">
        <v>59</v>
      </c>
      <c r="B1481" t="s">
        <v>138</v>
      </c>
      <c r="C1481">
        <v>2019</v>
      </c>
      <c r="F1481" s="13">
        <v>3039</v>
      </c>
      <c r="G1481" t="str">
        <f>VLOOKUP(F1481,'Liste Formations'!$A$5:$B$182,2,FALSE)</f>
        <v>Poste 1402</v>
      </c>
      <c r="H1481">
        <v>151.66999999999999</v>
      </c>
    </row>
    <row r="1482" spans="1:8" x14ac:dyDescent="0.25">
      <c r="A1482">
        <v>59</v>
      </c>
      <c r="B1482" t="s">
        <v>138</v>
      </c>
      <c r="C1482">
        <v>2020</v>
      </c>
      <c r="F1482" s="13">
        <v>3026</v>
      </c>
      <c r="G1482" t="str">
        <f>VLOOKUP(F1482,'Liste Formations'!$A$5:$B$182,2,FALSE)</f>
        <v>Poste 940</v>
      </c>
      <c r="H1482">
        <v>80</v>
      </c>
    </row>
    <row r="1483" spans="1:8" x14ac:dyDescent="0.25">
      <c r="A1483">
        <v>59</v>
      </c>
      <c r="B1483" t="s">
        <v>138</v>
      </c>
      <c r="C1483">
        <v>2021</v>
      </c>
      <c r="F1483" s="13">
        <v>3002</v>
      </c>
      <c r="G1483" t="str">
        <f>VLOOKUP(F1483,'Liste Formations'!$A$5:$B$182,2,FALSE)</f>
        <v>Poste 507</v>
      </c>
      <c r="H1483">
        <v>151.66999999999999</v>
      </c>
    </row>
    <row r="1484" spans="1:8" x14ac:dyDescent="0.25">
      <c r="A1484">
        <v>59</v>
      </c>
      <c r="B1484" t="s">
        <v>138</v>
      </c>
      <c r="C1484">
        <v>2023</v>
      </c>
      <c r="F1484" s="13">
        <v>1009</v>
      </c>
      <c r="G1484" t="str">
        <f>VLOOKUP(F1484,'Liste Formations'!$A$5:$B$182,2,FALSE)</f>
        <v>Défibrillateur</v>
      </c>
      <c r="H1484">
        <v>2</v>
      </c>
    </row>
    <row r="1485" spans="1:8" x14ac:dyDescent="0.25">
      <c r="A1485">
        <v>59</v>
      </c>
      <c r="B1485" t="s">
        <v>138</v>
      </c>
      <c r="C1485">
        <v>2023</v>
      </c>
      <c r="F1485" s="13">
        <v>1010</v>
      </c>
      <c r="G1485" t="str">
        <f>VLOOKUP(F1485,'Liste Formations'!$A$5:$B$182,2,FALSE)</f>
        <v>Incendie</v>
      </c>
      <c r="H1485">
        <v>2</v>
      </c>
    </row>
    <row r="1486" spans="1:8" x14ac:dyDescent="0.25">
      <c r="A1486">
        <v>59</v>
      </c>
      <c r="B1486" t="s">
        <v>138</v>
      </c>
      <c r="C1486">
        <v>2024</v>
      </c>
      <c r="F1486" s="13">
        <v>1009</v>
      </c>
      <c r="G1486" t="str">
        <f>VLOOKUP(F1486,'Liste Formations'!$A$5:$B$182,2,FALSE)</f>
        <v>Défibrillateur</v>
      </c>
      <c r="H1486">
        <v>2</v>
      </c>
    </row>
    <row r="1487" spans="1:8" x14ac:dyDescent="0.25">
      <c r="A1487">
        <v>59</v>
      </c>
      <c r="B1487" t="s">
        <v>138</v>
      </c>
      <c r="C1487">
        <v>2024</v>
      </c>
      <c r="F1487" s="13">
        <v>1010</v>
      </c>
      <c r="G1487" t="str">
        <f>VLOOKUP(F1487,'Liste Formations'!$A$5:$B$182,2,FALSE)</f>
        <v>Incendie</v>
      </c>
      <c r="H1487">
        <v>2</v>
      </c>
    </row>
    <row r="1489" spans="1:10" x14ac:dyDescent="0.25">
      <c r="A1489">
        <v>452</v>
      </c>
      <c r="B1489" t="s">
        <v>187</v>
      </c>
      <c r="C1489">
        <v>2022</v>
      </c>
      <c r="F1489" s="13">
        <v>3039</v>
      </c>
      <c r="G1489" t="str">
        <f>VLOOKUP(F1489,'Liste Formations'!$A$5:$B$182,2,FALSE)</f>
        <v>Poste 1402</v>
      </c>
      <c r="H1489">
        <v>151.66999999999999</v>
      </c>
    </row>
    <row r="1490" spans="1:10" x14ac:dyDescent="0.25">
      <c r="A1490">
        <v>452</v>
      </c>
      <c r="B1490" t="s">
        <v>187</v>
      </c>
      <c r="C1490">
        <v>2024</v>
      </c>
      <c r="F1490" s="13">
        <v>1009</v>
      </c>
      <c r="G1490" t="s">
        <v>221</v>
      </c>
      <c r="H1490">
        <v>2</v>
      </c>
    </row>
    <row r="1491" spans="1:10" x14ac:dyDescent="0.25">
      <c r="A1491">
        <v>452</v>
      </c>
      <c r="B1491" t="s">
        <v>187</v>
      </c>
      <c r="C1491">
        <v>2024</v>
      </c>
      <c r="F1491" s="13">
        <v>1010</v>
      </c>
      <c r="G1491" t="s">
        <v>222</v>
      </c>
      <c r="H1491">
        <v>2</v>
      </c>
    </row>
    <row r="1492" spans="1:10" x14ac:dyDescent="0.25">
      <c r="A1492">
        <v>452</v>
      </c>
      <c r="B1492" t="s">
        <v>187</v>
      </c>
      <c r="C1492">
        <v>2024</v>
      </c>
      <c r="F1492" s="13">
        <v>3006</v>
      </c>
      <c r="G1492" s="15" t="s">
        <v>25</v>
      </c>
      <c r="H1492" s="73">
        <v>70</v>
      </c>
      <c r="J1492" s="73"/>
    </row>
    <row r="1495" spans="1:10" x14ac:dyDescent="0.25">
      <c r="A1495">
        <v>10000050</v>
      </c>
      <c r="B1495" t="s">
        <v>328</v>
      </c>
      <c r="C1495">
        <v>2026</v>
      </c>
      <c r="E1495" s="18">
        <v>46078</v>
      </c>
      <c r="F1495" s="13">
        <v>3040</v>
      </c>
      <c r="G1495" s="15" t="s">
        <v>27</v>
      </c>
      <c r="H1495" s="73">
        <v>105</v>
      </c>
      <c r="I1495" t="s">
        <v>308</v>
      </c>
    </row>
    <row r="1499" spans="1:10" x14ac:dyDescent="0.25">
      <c r="A1499">
        <v>48</v>
      </c>
      <c r="B1499" t="s">
        <v>139</v>
      </c>
      <c r="C1499">
        <v>2010</v>
      </c>
      <c r="F1499" s="13">
        <v>3001</v>
      </c>
      <c r="G1499" t="str">
        <f>VLOOKUP(F1499,'Liste Formations'!$A$5:$B$182,2,FALSE)</f>
        <v>Poste 506</v>
      </c>
      <c r="H1499">
        <v>151.66999999999999</v>
      </c>
    </row>
    <row r="1500" spans="1:10" x14ac:dyDescent="0.25">
      <c r="A1500">
        <v>48</v>
      </c>
      <c r="B1500" t="s">
        <v>139</v>
      </c>
      <c r="C1500">
        <v>2010</v>
      </c>
      <c r="F1500" s="13">
        <v>3002</v>
      </c>
      <c r="G1500" t="str">
        <f>VLOOKUP(F1500,'Liste Formations'!$A$5:$B$182,2,FALSE)</f>
        <v>Poste 507</v>
      </c>
      <c r="H1500">
        <v>151.66999999999999</v>
      </c>
    </row>
    <row r="1501" spans="1:10" x14ac:dyDescent="0.25">
      <c r="A1501">
        <v>48</v>
      </c>
      <c r="B1501" t="s">
        <v>139</v>
      </c>
      <c r="C1501">
        <v>2010</v>
      </c>
      <c r="F1501" s="13">
        <v>3004</v>
      </c>
      <c r="G1501" t="str">
        <f>VLOOKUP(F1501,'Liste Formations'!$A$5:$B$182,2,FALSE)</f>
        <v>Poste 510</v>
      </c>
      <c r="H1501">
        <v>151.66999999999999</v>
      </c>
    </row>
    <row r="1502" spans="1:10" x14ac:dyDescent="0.25">
      <c r="A1502">
        <v>48</v>
      </c>
      <c r="B1502" t="s">
        <v>139</v>
      </c>
      <c r="C1502">
        <v>2010</v>
      </c>
      <c r="F1502" s="13">
        <v>1004</v>
      </c>
      <c r="G1502" t="str">
        <f>VLOOKUP(F1502,'Liste Formations'!$A$5:$B$182,2,FALSE)</f>
        <v>Conduite Chariots Cat.3</v>
      </c>
      <c r="H1502">
        <v>7</v>
      </c>
    </row>
    <row r="1503" spans="1:10" x14ac:dyDescent="0.25">
      <c r="A1503">
        <v>48</v>
      </c>
      <c r="B1503" t="s">
        <v>139</v>
      </c>
      <c r="C1503">
        <v>2011</v>
      </c>
      <c r="F1503" s="13">
        <v>3003</v>
      </c>
      <c r="G1503" t="str">
        <f>VLOOKUP(F1503,'Liste Formations'!$A$5:$B$182,2,FALSE)</f>
        <v>Poste 509</v>
      </c>
      <c r="H1503">
        <v>151.66999999999999</v>
      </c>
    </row>
    <row r="1504" spans="1:10" x14ac:dyDescent="0.25">
      <c r="A1504">
        <v>48</v>
      </c>
      <c r="B1504" t="s">
        <v>139</v>
      </c>
      <c r="C1504">
        <v>2012</v>
      </c>
      <c r="F1504" s="13">
        <v>3001</v>
      </c>
      <c r="G1504" t="str">
        <f>VLOOKUP(F1504,'Liste Formations'!$A$5:$B$182,2,FALSE)</f>
        <v>Poste 506</v>
      </c>
      <c r="H1504">
        <v>151.66999999999999</v>
      </c>
    </row>
    <row r="1505" spans="1:8" x14ac:dyDescent="0.25">
      <c r="A1505">
        <v>48</v>
      </c>
      <c r="B1505" t="s">
        <v>139</v>
      </c>
      <c r="C1505">
        <v>2012</v>
      </c>
      <c r="F1505" s="13">
        <v>1006</v>
      </c>
      <c r="G1505" t="str">
        <f>VLOOKUP(F1505,'Liste Formations'!$A$5:$B$182,2,FALSE)</f>
        <v>Habilitation électrique BE Manœuvre BS</v>
      </c>
      <c r="H1505">
        <v>7</v>
      </c>
    </row>
    <row r="1506" spans="1:8" x14ac:dyDescent="0.25">
      <c r="A1506">
        <v>48</v>
      </c>
      <c r="B1506" t="s">
        <v>139</v>
      </c>
      <c r="C1506">
        <v>2013</v>
      </c>
      <c r="F1506" s="13">
        <v>3003</v>
      </c>
      <c r="G1506" t="str">
        <f>VLOOKUP(F1506,'Liste Formations'!$A$5:$B$182,2,FALSE)</f>
        <v>Poste 509</v>
      </c>
      <c r="H1506">
        <v>151.66999999999999</v>
      </c>
    </row>
    <row r="1507" spans="1:8" x14ac:dyDescent="0.25">
      <c r="A1507">
        <v>48</v>
      </c>
      <c r="B1507" t="s">
        <v>139</v>
      </c>
      <c r="C1507">
        <v>2013</v>
      </c>
      <c r="F1507" s="13">
        <v>3005</v>
      </c>
      <c r="G1507" t="str">
        <f>VLOOKUP(F1507,'Liste Formations'!$A$5:$B$182,2,FALSE)</f>
        <v>Poste 514</v>
      </c>
      <c r="H1507">
        <v>151.66999999999999</v>
      </c>
    </row>
    <row r="1508" spans="1:8" x14ac:dyDescent="0.25">
      <c r="A1508">
        <v>48</v>
      </c>
      <c r="B1508" t="s">
        <v>139</v>
      </c>
      <c r="C1508">
        <v>2013</v>
      </c>
      <c r="F1508" s="13">
        <v>3006</v>
      </c>
      <c r="G1508" t="str">
        <f>VLOOKUP(F1508,'Liste Formations'!$A$5:$B$182,2,FALSE)</f>
        <v>Poste 515</v>
      </c>
      <c r="H1508">
        <v>151.66999999999999</v>
      </c>
    </row>
    <row r="1509" spans="1:8" x14ac:dyDescent="0.25">
      <c r="A1509">
        <v>48</v>
      </c>
      <c r="B1509" t="s">
        <v>139</v>
      </c>
      <c r="C1509">
        <v>2015</v>
      </c>
      <c r="F1509" s="13">
        <v>3001</v>
      </c>
      <c r="G1509" t="str">
        <f>VLOOKUP(F1509,'Liste Formations'!$A$5:$B$182,2,FALSE)</f>
        <v>Poste 506</v>
      </c>
      <c r="H1509">
        <v>151.66999999999999</v>
      </c>
    </row>
    <row r="1510" spans="1:8" x14ac:dyDescent="0.25">
      <c r="A1510">
        <v>48</v>
      </c>
      <c r="B1510" t="s">
        <v>139</v>
      </c>
      <c r="C1510">
        <v>2015</v>
      </c>
      <c r="F1510" s="13">
        <v>3002</v>
      </c>
      <c r="G1510" t="str">
        <f>VLOOKUP(F1510,'Liste Formations'!$A$5:$B$182,2,FALSE)</f>
        <v>Poste 507</v>
      </c>
      <c r="H1510">
        <v>151.66999999999999</v>
      </c>
    </row>
    <row r="1511" spans="1:8" x14ac:dyDescent="0.25">
      <c r="A1511">
        <v>48</v>
      </c>
      <c r="B1511" t="s">
        <v>139</v>
      </c>
      <c r="C1511">
        <v>2015</v>
      </c>
      <c r="F1511" s="13">
        <v>3003</v>
      </c>
      <c r="G1511" t="str">
        <f>VLOOKUP(F1511,'Liste Formations'!$A$5:$B$182,2,FALSE)</f>
        <v>Poste 509</v>
      </c>
      <c r="H1511">
        <v>151.66999999999999</v>
      </c>
    </row>
    <row r="1512" spans="1:8" x14ac:dyDescent="0.25">
      <c r="A1512">
        <v>48</v>
      </c>
      <c r="B1512" t="s">
        <v>139</v>
      </c>
      <c r="C1512">
        <v>2015</v>
      </c>
      <c r="F1512" s="13">
        <v>3005</v>
      </c>
      <c r="G1512" t="str">
        <f>VLOOKUP(F1512,'Liste Formations'!$A$5:$B$182,2,FALSE)</f>
        <v>Poste 514</v>
      </c>
      <c r="H1512">
        <v>151.66999999999999</v>
      </c>
    </row>
    <row r="1513" spans="1:8" x14ac:dyDescent="0.25">
      <c r="A1513">
        <v>48</v>
      </c>
      <c r="B1513" t="s">
        <v>139</v>
      </c>
      <c r="C1513">
        <v>2015</v>
      </c>
      <c r="F1513" s="13">
        <v>3006</v>
      </c>
      <c r="G1513" t="str">
        <f>VLOOKUP(F1513,'Liste Formations'!$A$5:$B$182,2,FALSE)</f>
        <v>Poste 515</v>
      </c>
      <c r="H1513">
        <v>151.66999999999999</v>
      </c>
    </row>
    <row r="1514" spans="1:8" x14ac:dyDescent="0.25">
      <c r="A1514">
        <v>48</v>
      </c>
      <c r="B1514" t="s">
        <v>139</v>
      </c>
      <c r="C1514">
        <v>2015</v>
      </c>
      <c r="F1514" s="13">
        <v>3008</v>
      </c>
      <c r="G1514" t="str">
        <f>VLOOKUP(F1514,'Liste Formations'!$A$5:$B$182,2,FALSE)</f>
        <v>Poste 560</v>
      </c>
      <c r="H1514">
        <v>151.66999999999999</v>
      </c>
    </row>
    <row r="1515" spans="1:8" x14ac:dyDescent="0.25">
      <c r="A1515">
        <v>48</v>
      </c>
      <c r="B1515" t="s">
        <v>139</v>
      </c>
      <c r="C1515">
        <v>2017</v>
      </c>
      <c r="F1515" s="13">
        <v>3001</v>
      </c>
      <c r="G1515" t="str">
        <f>VLOOKUP(F1515,'Liste Formations'!$A$5:$B$182,2,FALSE)</f>
        <v>Poste 506</v>
      </c>
      <c r="H1515">
        <v>151.66999999999999</v>
      </c>
    </row>
    <row r="1516" spans="1:8" x14ac:dyDescent="0.25">
      <c r="A1516">
        <v>48</v>
      </c>
      <c r="B1516" t="s">
        <v>139</v>
      </c>
      <c r="C1516">
        <v>2017</v>
      </c>
      <c r="F1516" s="13">
        <v>3002</v>
      </c>
      <c r="G1516" t="str">
        <f>VLOOKUP(F1516,'Liste Formations'!$A$5:$B$182,2,FALSE)</f>
        <v>Poste 507</v>
      </c>
      <c r="H1516">
        <v>151.66999999999999</v>
      </c>
    </row>
    <row r="1517" spans="1:8" x14ac:dyDescent="0.25">
      <c r="A1517">
        <v>48</v>
      </c>
      <c r="B1517" t="s">
        <v>139</v>
      </c>
      <c r="C1517">
        <v>2017</v>
      </c>
      <c r="F1517" s="13">
        <v>3003</v>
      </c>
      <c r="G1517" t="str">
        <f>VLOOKUP(F1517,'Liste Formations'!$A$5:$B$182,2,FALSE)</f>
        <v>Poste 509</v>
      </c>
      <c r="H1517">
        <v>151.66999999999999</v>
      </c>
    </row>
    <row r="1518" spans="1:8" x14ac:dyDescent="0.25">
      <c r="A1518">
        <v>48</v>
      </c>
      <c r="B1518" t="s">
        <v>139</v>
      </c>
      <c r="C1518">
        <v>2017</v>
      </c>
      <c r="F1518" s="13">
        <v>3005</v>
      </c>
      <c r="G1518" t="str">
        <f>VLOOKUP(F1518,'Liste Formations'!$A$5:$B$182,2,FALSE)</f>
        <v>Poste 514</v>
      </c>
      <c r="H1518">
        <v>151.66999999999999</v>
      </c>
    </row>
    <row r="1519" spans="1:8" x14ac:dyDescent="0.25">
      <c r="A1519">
        <v>48</v>
      </c>
      <c r="B1519" t="s">
        <v>139</v>
      </c>
      <c r="C1519">
        <v>2017</v>
      </c>
      <c r="F1519" s="13">
        <v>3006</v>
      </c>
      <c r="G1519" t="str">
        <f>VLOOKUP(F1519,'Liste Formations'!$A$5:$B$182,2,FALSE)</f>
        <v>Poste 515</v>
      </c>
      <c r="H1519">
        <v>151.66999999999999</v>
      </c>
    </row>
    <row r="1520" spans="1:8" x14ac:dyDescent="0.25">
      <c r="A1520">
        <v>48</v>
      </c>
      <c r="B1520" t="s">
        <v>139</v>
      </c>
      <c r="C1520">
        <v>2017</v>
      </c>
      <c r="F1520" s="13">
        <v>3008</v>
      </c>
      <c r="G1520" t="str">
        <f>VLOOKUP(F1520,'Liste Formations'!$A$5:$B$182,2,FALSE)</f>
        <v>Poste 560</v>
      </c>
      <c r="H1520">
        <v>151.66999999999999</v>
      </c>
    </row>
    <row r="1521" spans="1:8" x14ac:dyDescent="0.25">
      <c r="A1521">
        <v>48</v>
      </c>
      <c r="B1521" t="s">
        <v>139</v>
      </c>
      <c r="C1521">
        <v>2017</v>
      </c>
      <c r="F1521" s="13">
        <v>3040</v>
      </c>
      <c r="G1521" t="str">
        <f>VLOOKUP(F1521,'Liste Formations'!$A$5:$B$182,2,FALSE)</f>
        <v>Poste 1404</v>
      </c>
      <c r="H1521">
        <v>151.66999999999999</v>
      </c>
    </row>
    <row r="1522" spans="1:8" x14ac:dyDescent="0.25">
      <c r="A1522">
        <v>48</v>
      </c>
      <c r="B1522" t="s">
        <v>139</v>
      </c>
      <c r="C1522">
        <v>2017</v>
      </c>
      <c r="F1522" s="13">
        <v>2007</v>
      </c>
      <c r="G1522" t="str">
        <f>VLOOKUP(F1522,'Liste Formations'!$A$5:$B$182,2,FALSE)</f>
        <v>ERP DIVALTO</v>
      </c>
      <c r="H1522">
        <v>13</v>
      </c>
    </row>
    <row r="1523" spans="1:8" x14ac:dyDescent="0.25">
      <c r="A1523">
        <v>48</v>
      </c>
      <c r="B1523" t="s">
        <v>139</v>
      </c>
      <c r="C1523">
        <v>2018</v>
      </c>
      <c r="F1523" s="13">
        <v>3014</v>
      </c>
      <c r="G1523" t="str">
        <f>VLOOKUP(F1523,'Liste Formations'!$A$5:$B$182,2,FALSE)</f>
        <v>Poste 902</v>
      </c>
      <c r="H1523">
        <v>151.66999999999999</v>
      </c>
    </row>
    <row r="1524" spans="1:8" x14ac:dyDescent="0.25">
      <c r="A1524">
        <v>48</v>
      </c>
      <c r="B1524" t="s">
        <v>139</v>
      </c>
      <c r="C1524">
        <v>2018</v>
      </c>
      <c r="F1524" s="13">
        <v>3037</v>
      </c>
      <c r="G1524" t="str">
        <f>VLOOKUP(F1524,'Liste Formations'!$A$5:$B$182,2,FALSE)</f>
        <v>Poste 1121</v>
      </c>
      <c r="H1524">
        <v>151.66999999999999</v>
      </c>
    </row>
    <row r="1525" spans="1:8" x14ac:dyDescent="0.25">
      <c r="A1525">
        <v>48</v>
      </c>
      <c r="B1525" t="s">
        <v>139</v>
      </c>
      <c r="C1525">
        <v>2018</v>
      </c>
      <c r="F1525" s="13">
        <v>2001</v>
      </c>
      <c r="G1525" t="str">
        <f>VLOOKUP(F1525,'Liste Formations'!$A$5:$B$182,2,FALSE)</f>
        <v>IFOCA le mélangeage</v>
      </c>
      <c r="H1525">
        <v>42</v>
      </c>
    </row>
    <row r="1526" spans="1:8" x14ac:dyDescent="0.25">
      <c r="A1526">
        <v>48</v>
      </c>
      <c r="B1526" t="s">
        <v>139</v>
      </c>
      <c r="C1526">
        <v>2018</v>
      </c>
      <c r="F1526" s="13">
        <v>1020</v>
      </c>
      <c r="G1526" t="str">
        <f>VLOOKUP(F1526,'Liste Formations'!$A$5:$B$182,2,FALSE)</f>
        <v>Prévention TMS - Gestes Postures et Nutrition</v>
      </c>
      <c r="H1526">
        <v>3.5</v>
      </c>
    </row>
    <row r="1527" spans="1:8" x14ac:dyDescent="0.25">
      <c r="A1527">
        <v>48</v>
      </c>
      <c r="B1527" t="s">
        <v>139</v>
      </c>
      <c r="C1527">
        <v>2018</v>
      </c>
      <c r="F1527" s="13">
        <v>1004</v>
      </c>
      <c r="G1527" t="str">
        <f>VLOOKUP(F1527,'Liste Formations'!$A$5:$B$182,2,FALSE)</f>
        <v>Conduite Chariots Cat.3</v>
      </c>
      <c r="H1527">
        <v>7</v>
      </c>
    </row>
    <row r="1528" spans="1:8" x14ac:dyDescent="0.25">
      <c r="A1528">
        <v>48</v>
      </c>
      <c r="B1528" t="s">
        <v>139</v>
      </c>
      <c r="C1528">
        <v>2019</v>
      </c>
      <c r="F1528" s="13">
        <v>1022</v>
      </c>
      <c r="G1528" t="str">
        <f>VLOOKUP(F1528,'Liste Formations'!$A$5:$B$182,2,FALSE)</f>
        <v>Sensibilisation au bruit</v>
      </c>
      <c r="H1528">
        <v>0.16</v>
      </c>
    </row>
    <row r="1529" spans="1:8" x14ac:dyDescent="0.25">
      <c r="A1529">
        <v>48</v>
      </c>
      <c r="B1529" t="s">
        <v>139</v>
      </c>
      <c r="C1529">
        <v>2019</v>
      </c>
      <c r="F1529" s="13">
        <v>3001</v>
      </c>
      <c r="G1529" t="str">
        <f>VLOOKUP(F1529,'Liste Formations'!$A$5:$B$182,2,FALSE)</f>
        <v>Poste 506</v>
      </c>
      <c r="H1529">
        <v>151.66999999999999</v>
      </c>
    </row>
    <row r="1530" spans="1:8" x14ac:dyDescent="0.25">
      <c r="A1530">
        <v>48</v>
      </c>
      <c r="B1530" t="s">
        <v>139</v>
      </c>
      <c r="C1530">
        <v>2019</v>
      </c>
      <c r="F1530" s="13">
        <v>3002</v>
      </c>
      <c r="G1530" t="str">
        <f>VLOOKUP(F1530,'Liste Formations'!$A$5:$B$182,2,FALSE)</f>
        <v>Poste 507</v>
      </c>
      <c r="H1530">
        <v>151.66999999999999</v>
      </c>
    </row>
    <row r="1531" spans="1:8" x14ac:dyDescent="0.25">
      <c r="A1531">
        <v>48</v>
      </c>
      <c r="B1531" t="s">
        <v>139</v>
      </c>
      <c r="C1531">
        <v>2019</v>
      </c>
      <c r="F1531" s="13">
        <v>3004</v>
      </c>
      <c r="G1531" t="str">
        <f>VLOOKUP(F1531,'Liste Formations'!$A$5:$B$182,2,FALSE)</f>
        <v>Poste 510</v>
      </c>
      <c r="H1531">
        <v>151.66999999999999</v>
      </c>
    </row>
    <row r="1532" spans="1:8" x14ac:dyDescent="0.25">
      <c r="A1532">
        <v>48</v>
      </c>
      <c r="B1532" t="s">
        <v>139</v>
      </c>
      <c r="C1532">
        <v>2019</v>
      </c>
      <c r="F1532" s="13">
        <v>3005</v>
      </c>
      <c r="G1532" t="str">
        <f>VLOOKUP(F1532,'Liste Formations'!$A$5:$B$182,2,FALSE)</f>
        <v>Poste 514</v>
      </c>
      <c r="H1532">
        <v>151.66999999999999</v>
      </c>
    </row>
    <row r="1533" spans="1:8" x14ac:dyDescent="0.25">
      <c r="A1533">
        <v>48</v>
      </c>
      <c r="B1533" t="s">
        <v>139</v>
      </c>
      <c r="C1533">
        <v>2019</v>
      </c>
      <c r="F1533" s="13">
        <v>3006</v>
      </c>
      <c r="G1533" t="str">
        <f>VLOOKUP(F1533,'Liste Formations'!$A$5:$B$182,2,FALSE)</f>
        <v>Poste 515</v>
      </c>
      <c r="H1533">
        <v>151.66999999999999</v>
      </c>
    </row>
    <row r="1534" spans="1:8" x14ac:dyDescent="0.25">
      <c r="A1534">
        <v>48</v>
      </c>
      <c r="B1534" t="s">
        <v>139</v>
      </c>
      <c r="C1534">
        <v>2019</v>
      </c>
      <c r="F1534" s="13">
        <v>3008</v>
      </c>
      <c r="G1534" t="str">
        <f>VLOOKUP(F1534,'Liste Formations'!$A$5:$B$182,2,FALSE)</f>
        <v>Poste 560</v>
      </c>
      <c r="H1534">
        <v>151.66999999999999</v>
      </c>
    </row>
    <row r="1535" spans="1:8" x14ac:dyDescent="0.25">
      <c r="A1535">
        <v>48</v>
      </c>
      <c r="B1535" t="s">
        <v>139</v>
      </c>
      <c r="C1535">
        <v>2019</v>
      </c>
      <c r="F1535" s="13">
        <v>3023</v>
      </c>
      <c r="G1535" t="str">
        <f>VLOOKUP(F1535,'Liste Formations'!$A$5:$B$182,2,FALSE)</f>
        <v>Poste 923</v>
      </c>
      <c r="H1535">
        <v>151.66999999999999</v>
      </c>
    </row>
    <row r="1536" spans="1:8" x14ac:dyDescent="0.25">
      <c r="A1536">
        <v>48</v>
      </c>
      <c r="B1536" t="s">
        <v>139</v>
      </c>
      <c r="C1536">
        <v>2019</v>
      </c>
      <c r="F1536" s="13">
        <v>3040</v>
      </c>
      <c r="G1536" t="str">
        <f>VLOOKUP(F1536,'Liste Formations'!$A$5:$B$182,2,FALSE)</f>
        <v>Poste 1404</v>
      </c>
      <c r="H1536">
        <v>151.66999999999999</v>
      </c>
    </row>
    <row r="1537" spans="1:8" x14ac:dyDescent="0.25">
      <c r="A1537">
        <v>48</v>
      </c>
      <c r="B1537" t="s">
        <v>139</v>
      </c>
      <c r="C1537">
        <v>2020</v>
      </c>
      <c r="F1537" s="13">
        <v>3010</v>
      </c>
      <c r="G1537" t="str">
        <f>VLOOKUP(F1537,'Liste Formations'!$A$5:$B$182,2,FALSE)</f>
        <v>Poste 830</v>
      </c>
      <c r="H1537">
        <v>151.66999999999999</v>
      </c>
    </row>
    <row r="1538" spans="1:8" x14ac:dyDescent="0.25">
      <c r="A1538">
        <v>48</v>
      </c>
      <c r="B1538" t="s">
        <v>139</v>
      </c>
      <c r="C1538">
        <v>2020</v>
      </c>
      <c r="F1538" s="13">
        <v>3013</v>
      </c>
      <c r="G1538" t="str">
        <f>VLOOKUP(F1538,'Liste Formations'!$A$5:$B$182,2,FALSE)</f>
        <v>Poste 901</v>
      </c>
      <c r="H1538">
        <v>120</v>
      </c>
    </row>
    <row r="1539" spans="1:8" x14ac:dyDescent="0.25">
      <c r="A1539">
        <v>48</v>
      </c>
      <c r="B1539" t="s">
        <v>139</v>
      </c>
      <c r="C1539">
        <v>2020</v>
      </c>
      <c r="F1539" s="13">
        <v>3015</v>
      </c>
      <c r="G1539" t="str">
        <f>VLOOKUP(F1539,'Liste Formations'!$A$5:$B$182,2,FALSE)</f>
        <v>Poste 903</v>
      </c>
      <c r="H1539">
        <v>16</v>
      </c>
    </row>
    <row r="1540" spans="1:8" x14ac:dyDescent="0.25">
      <c r="A1540">
        <v>48</v>
      </c>
      <c r="B1540" t="s">
        <v>139</v>
      </c>
      <c r="C1540">
        <v>2020</v>
      </c>
      <c r="F1540" s="13">
        <v>3016</v>
      </c>
      <c r="G1540" t="str">
        <f>VLOOKUP(F1540,'Liste Formations'!$A$5:$B$182,2,FALSE)</f>
        <v>Poste 904</v>
      </c>
      <c r="H1540">
        <v>16</v>
      </c>
    </row>
    <row r="1541" spans="1:8" x14ac:dyDescent="0.25">
      <c r="A1541">
        <v>48</v>
      </c>
      <c r="B1541" t="s">
        <v>139</v>
      </c>
      <c r="C1541">
        <v>2020</v>
      </c>
      <c r="F1541" s="13">
        <v>3026</v>
      </c>
      <c r="G1541" t="str">
        <f>VLOOKUP(F1541,'Liste Formations'!$A$5:$B$182,2,FALSE)</f>
        <v>Poste 940</v>
      </c>
      <c r="H1541">
        <v>120</v>
      </c>
    </row>
    <row r="1542" spans="1:8" x14ac:dyDescent="0.25">
      <c r="A1542">
        <v>48</v>
      </c>
      <c r="B1542" t="s">
        <v>139</v>
      </c>
      <c r="C1542">
        <v>2020</v>
      </c>
      <c r="F1542" s="13">
        <v>3027</v>
      </c>
      <c r="G1542" t="str">
        <f>VLOOKUP(F1542,'Liste Formations'!$A$5:$B$182,2,FALSE)</f>
        <v>Poste 941</v>
      </c>
      <c r="H1542">
        <v>64</v>
      </c>
    </row>
    <row r="1543" spans="1:8" x14ac:dyDescent="0.25">
      <c r="A1543">
        <v>48</v>
      </c>
      <c r="B1543" t="s">
        <v>139</v>
      </c>
      <c r="C1543">
        <v>2020</v>
      </c>
      <c r="F1543" s="13">
        <v>3028</v>
      </c>
      <c r="G1543" t="str">
        <f>VLOOKUP(F1543,'Liste Formations'!$A$5:$B$182,2,FALSE)</f>
        <v>Poste 942</v>
      </c>
      <c r="H1543">
        <v>66</v>
      </c>
    </row>
    <row r="1544" spans="1:8" x14ac:dyDescent="0.25">
      <c r="A1544">
        <v>48</v>
      </c>
      <c r="B1544" t="s">
        <v>139</v>
      </c>
      <c r="C1544">
        <v>2020</v>
      </c>
      <c r="F1544" s="13">
        <v>2007</v>
      </c>
      <c r="G1544" t="str">
        <f>VLOOKUP(F1544,'Liste Formations'!$A$5:$B$182,2,FALSE)</f>
        <v>ERP DIVALTO</v>
      </c>
      <c r="H1544">
        <v>2.5</v>
      </c>
    </row>
    <row r="1545" spans="1:8" x14ac:dyDescent="0.25">
      <c r="A1545">
        <v>48</v>
      </c>
      <c r="B1545" t="s">
        <v>139</v>
      </c>
      <c r="C1545">
        <v>2021</v>
      </c>
      <c r="F1545" s="13">
        <v>3001</v>
      </c>
      <c r="G1545" t="str">
        <f>VLOOKUP(F1545,'Liste Formations'!$A$5:$B$182,2,FALSE)</f>
        <v>Poste 506</v>
      </c>
      <c r="H1545">
        <v>151.66999999999999</v>
      </c>
    </row>
    <row r="1546" spans="1:8" x14ac:dyDescent="0.25">
      <c r="A1546">
        <v>48</v>
      </c>
      <c r="B1546" t="s">
        <v>139</v>
      </c>
      <c r="C1546">
        <v>2021</v>
      </c>
      <c r="F1546" s="13">
        <v>3002</v>
      </c>
      <c r="G1546" t="str">
        <f>VLOOKUP(F1546,'Liste Formations'!$A$5:$B$182,2,FALSE)</f>
        <v>Poste 507</v>
      </c>
      <c r="H1546">
        <v>151.66999999999999</v>
      </c>
    </row>
    <row r="1547" spans="1:8" x14ac:dyDescent="0.25">
      <c r="A1547">
        <v>48</v>
      </c>
      <c r="B1547" t="s">
        <v>139</v>
      </c>
      <c r="C1547">
        <v>2021</v>
      </c>
      <c r="F1547" s="13">
        <v>3005</v>
      </c>
      <c r="G1547" t="str">
        <f>VLOOKUP(F1547,'Liste Formations'!$A$5:$B$182,2,FALSE)</f>
        <v>Poste 514</v>
      </c>
      <c r="H1547">
        <v>151.66999999999999</v>
      </c>
    </row>
    <row r="1548" spans="1:8" x14ac:dyDescent="0.25">
      <c r="A1548">
        <v>48</v>
      </c>
      <c r="B1548" t="s">
        <v>139</v>
      </c>
      <c r="C1548">
        <v>2021</v>
      </c>
      <c r="F1548" s="13">
        <v>3015</v>
      </c>
      <c r="G1548" t="str">
        <f>VLOOKUP(F1548,'Liste Formations'!$A$5:$B$182,2,FALSE)</f>
        <v>Poste 903</v>
      </c>
      <c r="H1548">
        <v>151.66999999999999</v>
      </c>
    </row>
    <row r="1549" spans="1:8" x14ac:dyDescent="0.25">
      <c r="A1549">
        <v>48</v>
      </c>
      <c r="B1549" t="s">
        <v>139</v>
      </c>
      <c r="C1549">
        <v>2021</v>
      </c>
      <c r="F1549" s="13">
        <v>3016</v>
      </c>
      <c r="G1549" t="str">
        <f>VLOOKUP(F1549,'Liste Formations'!$A$5:$B$182,2,FALSE)</f>
        <v>Poste 904</v>
      </c>
      <c r="H1549">
        <v>151.66999999999999</v>
      </c>
    </row>
    <row r="1550" spans="1:8" x14ac:dyDescent="0.25">
      <c r="A1550">
        <v>48</v>
      </c>
      <c r="B1550" t="s">
        <v>139</v>
      </c>
      <c r="C1550">
        <v>2023</v>
      </c>
      <c r="F1550" s="13">
        <v>1003</v>
      </c>
      <c r="G1550" t="str">
        <f>VLOOKUP(F1550,'Liste Formations'!$A$5:$B$182,2,FALSE)</f>
        <v>Conduite Chariots Cat.5</v>
      </c>
      <c r="H1550">
        <v>4</v>
      </c>
    </row>
    <row r="1551" spans="1:8" x14ac:dyDescent="0.25">
      <c r="A1551">
        <v>48</v>
      </c>
      <c r="B1551" t="s">
        <v>139</v>
      </c>
      <c r="C1551">
        <v>2023</v>
      </c>
      <c r="F1551" s="13">
        <v>1004</v>
      </c>
      <c r="G1551" t="str">
        <f>VLOOKUP(F1551,'Liste Formations'!$A$5:$B$182,2,FALSE)</f>
        <v>Conduite Chariots Cat.3</v>
      </c>
      <c r="H1551">
        <v>7</v>
      </c>
    </row>
    <row r="1552" spans="1:8" x14ac:dyDescent="0.25">
      <c r="A1552">
        <v>48</v>
      </c>
      <c r="B1552" t="s">
        <v>139</v>
      </c>
      <c r="C1552">
        <v>2023</v>
      </c>
      <c r="F1552" s="13">
        <v>1006</v>
      </c>
      <c r="G1552" t="str">
        <f>VLOOKUP(F1552,'Liste Formations'!$A$5:$B$182,2,FALSE)</f>
        <v>Habilitation électrique BE Manœuvre BS</v>
      </c>
      <c r="H1552">
        <v>14</v>
      </c>
    </row>
    <row r="1553" spans="1:9" x14ac:dyDescent="0.25">
      <c r="A1553">
        <v>48</v>
      </c>
      <c r="B1553" t="s">
        <v>139</v>
      </c>
      <c r="C1553">
        <v>2023</v>
      </c>
      <c r="F1553" s="13">
        <v>1024</v>
      </c>
      <c r="G1553" t="str">
        <f>VLOOKUP(F1553,'Liste Formations'!$A$5:$B$182,2,FALSE)</f>
        <v>Déversement granulés</v>
      </c>
      <c r="H1553">
        <v>0.5</v>
      </c>
    </row>
    <row r="1554" spans="1:9" x14ac:dyDescent="0.25">
      <c r="A1554">
        <v>48</v>
      </c>
      <c r="B1554" t="s">
        <v>139</v>
      </c>
      <c r="C1554">
        <v>2024</v>
      </c>
      <c r="F1554" s="13">
        <v>1033</v>
      </c>
      <c r="G1554" t="str">
        <f>VLOOKUP(F1554,'Liste Formations'!$A$5:$B$182,2,FALSE)</f>
        <v>Sensibilisation aux addictions</v>
      </c>
      <c r="H1554">
        <v>1.5</v>
      </c>
    </row>
    <row r="1555" spans="1:9" x14ac:dyDescent="0.25">
      <c r="A1555">
        <v>48</v>
      </c>
      <c r="B1555" t="s">
        <v>139</v>
      </c>
      <c r="C1555">
        <v>2024</v>
      </c>
      <c r="F1555" s="13">
        <v>2031</v>
      </c>
      <c r="G1555" t="str">
        <f>VLOOKUP(F1555,'Liste Formations'!$A$5:$B$182,2,FALSE)</f>
        <v>Qualité</v>
      </c>
      <c r="H1555">
        <v>2</v>
      </c>
    </row>
    <row r="1556" spans="1:9" x14ac:dyDescent="0.25">
      <c r="A1556">
        <v>48</v>
      </c>
      <c r="B1556" t="s">
        <v>139</v>
      </c>
      <c r="C1556">
        <v>2024</v>
      </c>
      <c r="F1556" s="13">
        <v>1032</v>
      </c>
      <c r="G1556" t="str">
        <f>VLOOKUP(F1556,'Liste Formations'!$A$5:$B$182,2,FALSE)</f>
        <v>Sensibilisation RPS Risques Psychosociaux</v>
      </c>
      <c r="H1556">
        <v>2</v>
      </c>
    </row>
    <row r="1557" spans="1:9" x14ac:dyDescent="0.25">
      <c r="A1557">
        <v>48</v>
      </c>
      <c r="B1557" t="s">
        <v>139</v>
      </c>
      <c r="C1557">
        <v>2025</v>
      </c>
      <c r="D1557" s="18">
        <v>45681</v>
      </c>
      <c r="E1557" s="18">
        <v>45709</v>
      </c>
      <c r="F1557" s="13">
        <v>2051</v>
      </c>
      <c r="G1557" t="s">
        <v>279</v>
      </c>
      <c r="H1557" s="80">
        <v>28</v>
      </c>
      <c r="I1557" t="s">
        <v>280</v>
      </c>
    </row>
    <row r="1558" spans="1:9" x14ac:dyDescent="0.25">
      <c r="A1558">
        <v>48</v>
      </c>
      <c r="B1558" t="s">
        <v>139</v>
      </c>
      <c r="C1558">
        <v>2025</v>
      </c>
      <c r="D1558" s="18">
        <v>45723</v>
      </c>
      <c r="E1558" s="18">
        <v>45754</v>
      </c>
      <c r="F1558" s="13">
        <v>3048</v>
      </c>
      <c r="G1558" s="15" t="s">
        <v>277</v>
      </c>
      <c r="H1558" s="80">
        <v>30</v>
      </c>
      <c r="I1558" t="s">
        <v>308</v>
      </c>
    </row>
    <row r="1559" spans="1:9" x14ac:dyDescent="0.25">
      <c r="D1559" s="18"/>
      <c r="E1559" s="18"/>
      <c r="G1559" s="15"/>
      <c r="H1559" s="80"/>
    </row>
    <row r="1560" spans="1:9" x14ac:dyDescent="0.25">
      <c r="A1560">
        <v>10000052</v>
      </c>
      <c r="B1560" t="s">
        <v>326</v>
      </c>
      <c r="C1560">
        <v>2026</v>
      </c>
      <c r="D1560" s="18"/>
      <c r="E1560" s="18">
        <v>46084</v>
      </c>
      <c r="F1560" s="13">
        <v>3039</v>
      </c>
      <c r="G1560" s="15" t="s">
        <v>28</v>
      </c>
      <c r="H1560" s="81">
        <v>105</v>
      </c>
      <c r="I1560" t="s">
        <v>308</v>
      </c>
    </row>
    <row r="1561" spans="1:9" x14ac:dyDescent="0.25">
      <c r="D1561" s="18"/>
      <c r="E1561" s="18"/>
      <c r="G1561" s="15"/>
      <c r="H1561" s="80"/>
    </row>
    <row r="1563" spans="1:9" x14ac:dyDescent="0.25">
      <c r="A1563">
        <v>307</v>
      </c>
      <c r="B1563" t="s">
        <v>140</v>
      </c>
      <c r="C1563">
        <v>2017</v>
      </c>
      <c r="F1563" s="13">
        <v>2007</v>
      </c>
      <c r="G1563" t="str">
        <f>VLOOKUP(F1563,'Liste Formations'!$A$5:$B$182,2,FALSE)</f>
        <v>ERP DIVALTO</v>
      </c>
      <c r="H1563">
        <v>7</v>
      </c>
    </row>
    <row r="1564" spans="1:9" x14ac:dyDescent="0.25">
      <c r="A1564">
        <v>307</v>
      </c>
      <c r="B1564" t="s">
        <v>140</v>
      </c>
      <c r="C1564">
        <v>2018</v>
      </c>
      <c r="F1564" s="13">
        <v>1009</v>
      </c>
      <c r="G1564" t="str">
        <f>VLOOKUP(F1564,'Liste Formations'!$A$5:$B$182,2,FALSE)</f>
        <v>Défibrillateur</v>
      </c>
      <c r="H1564">
        <v>3</v>
      </c>
    </row>
    <row r="1565" spans="1:9" x14ac:dyDescent="0.25">
      <c r="A1565">
        <v>307</v>
      </c>
      <c r="B1565" t="s">
        <v>140</v>
      </c>
      <c r="C1565">
        <v>2018</v>
      </c>
      <c r="F1565" s="13">
        <v>1010</v>
      </c>
      <c r="G1565" t="str">
        <f>VLOOKUP(F1565,'Liste Formations'!$A$5:$B$182,2,FALSE)</f>
        <v>Incendie</v>
      </c>
      <c r="H1565">
        <v>3</v>
      </c>
    </row>
    <row r="1566" spans="1:9" x14ac:dyDescent="0.25">
      <c r="A1566">
        <v>307</v>
      </c>
      <c r="B1566" t="s">
        <v>140</v>
      </c>
      <c r="C1566">
        <v>2018</v>
      </c>
      <c r="F1566" s="13">
        <v>1020</v>
      </c>
      <c r="G1566" t="str">
        <f>VLOOKUP(F1566,'Liste Formations'!$A$5:$B$182,2,FALSE)</f>
        <v>Prévention TMS - Gestes Postures et Nutrition</v>
      </c>
      <c r="H1566">
        <v>3.5</v>
      </c>
    </row>
    <row r="1567" spans="1:9" x14ac:dyDescent="0.25">
      <c r="A1567">
        <v>307</v>
      </c>
      <c r="B1567" t="s">
        <v>140</v>
      </c>
      <c r="C1567">
        <v>2018</v>
      </c>
      <c r="F1567" s="13">
        <v>1021</v>
      </c>
      <c r="G1567" t="str">
        <f>VLOOKUP(F1567,'Liste Formations'!$A$5:$B$182,2,FALSE)</f>
        <v>Gestion du stress</v>
      </c>
      <c r="H1567">
        <v>4</v>
      </c>
    </row>
    <row r="1568" spans="1:9" x14ac:dyDescent="0.25">
      <c r="A1568">
        <v>307</v>
      </c>
      <c r="B1568" t="s">
        <v>140</v>
      </c>
      <c r="C1568">
        <v>2019</v>
      </c>
      <c r="F1568" s="13">
        <v>1016</v>
      </c>
      <c r="G1568" t="str">
        <f>VLOOKUP(F1568,'Liste Formations'!$A$5:$B$182,2,FALSE)</f>
        <v>S.S.T. Sauveteurs Secourites du Travail</v>
      </c>
      <c r="H1568">
        <v>14</v>
      </c>
    </row>
    <row r="1569" spans="1:9" x14ac:dyDescent="0.25">
      <c r="A1569">
        <v>307</v>
      </c>
      <c r="B1569" t="s">
        <v>140</v>
      </c>
      <c r="C1569">
        <v>2019</v>
      </c>
      <c r="F1569" s="13">
        <v>2021</v>
      </c>
      <c r="G1569" t="str">
        <f>VLOOKUP(F1569,'Liste Formations'!$A$5:$B$182,2,FALSE)</f>
        <v>ENTERPRISE / ALPHA TECHNOLOGIE</v>
      </c>
      <c r="H1569">
        <v>2</v>
      </c>
    </row>
    <row r="1570" spans="1:9" x14ac:dyDescent="0.25">
      <c r="A1570">
        <v>307</v>
      </c>
      <c r="B1570" t="s">
        <v>140</v>
      </c>
      <c r="C1570">
        <v>2021</v>
      </c>
      <c r="F1570" s="13">
        <v>1017</v>
      </c>
      <c r="G1570" t="str">
        <f>VLOOKUP(F1570,'Liste Formations'!$A$5:$B$182,2,FALSE)</f>
        <v>R. S.S.T. Recyclage Sauveteurs Secourites du Travail</v>
      </c>
      <c r="H1570">
        <v>7</v>
      </c>
    </row>
    <row r="1571" spans="1:9" x14ac:dyDescent="0.25">
      <c r="A1571">
        <v>307</v>
      </c>
      <c r="B1571" t="s">
        <v>140</v>
      </c>
      <c r="C1571">
        <v>2022</v>
      </c>
      <c r="F1571" s="13">
        <v>2013</v>
      </c>
      <c r="G1571" t="str">
        <f>VLOOKUP(F1571,'Liste Formations'!$A$5:$B$182,2,FALSE)</f>
        <v>Auditeur interne ISO 9001/IATF</v>
      </c>
      <c r="H1571">
        <v>28</v>
      </c>
    </row>
    <row r="1572" spans="1:9" x14ac:dyDescent="0.25">
      <c r="A1572">
        <v>307</v>
      </c>
      <c r="B1572" t="s">
        <v>140</v>
      </c>
      <c r="C1572">
        <v>2023</v>
      </c>
      <c r="F1572" s="13">
        <v>1009</v>
      </c>
      <c r="G1572" t="str">
        <f>VLOOKUP(F1572,'Liste Formations'!$A$5:$B$182,2,FALSE)</f>
        <v>Défibrillateur</v>
      </c>
      <c r="H1572">
        <v>2</v>
      </c>
    </row>
    <row r="1573" spans="1:9" x14ac:dyDescent="0.25">
      <c r="A1573">
        <v>307</v>
      </c>
      <c r="B1573" t="s">
        <v>140</v>
      </c>
      <c r="C1573">
        <v>2023</v>
      </c>
      <c r="F1573" s="13">
        <v>1010</v>
      </c>
      <c r="G1573" t="str">
        <f>VLOOKUP(F1573,'Liste Formations'!$A$5:$B$182,2,FALSE)</f>
        <v>Incendie</v>
      </c>
      <c r="H1573">
        <v>2</v>
      </c>
    </row>
    <row r="1574" spans="1:9" x14ac:dyDescent="0.25">
      <c r="A1574">
        <v>307</v>
      </c>
      <c r="B1574" t="s">
        <v>140</v>
      </c>
      <c r="C1574">
        <v>2023</v>
      </c>
      <c r="F1574" s="13">
        <v>1017</v>
      </c>
      <c r="G1574" t="str">
        <f>VLOOKUP(F1574,'Liste Formations'!$A$5:$B$182,2,FALSE)</f>
        <v>R. S.S.T. Recyclage Sauveteurs Secourites du Travail</v>
      </c>
      <c r="H1574">
        <v>7</v>
      </c>
    </row>
    <row r="1575" spans="1:9" x14ac:dyDescent="0.25">
      <c r="A1575">
        <v>307</v>
      </c>
      <c r="B1575" t="s">
        <v>140</v>
      </c>
      <c r="C1575">
        <v>2023</v>
      </c>
      <c r="F1575" s="13">
        <v>2027</v>
      </c>
      <c r="G1575" t="str">
        <f>VLOOKUP(F1575,'Liste Formations'!$A$5:$B$182,2,FALSE)</f>
        <v>INSTRON</v>
      </c>
      <c r="H1575">
        <v>3.5</v>
      </c>
    </row>
    <row r="1576" spans="1:9" x14ac:dyDescent="0.25">
      <c r="A1576">
        <v>307</v>
      </c>
      <c r="B1576" t="s">
        <v>140</v>
      </c>
      <c r="C1576">
        <v>2025</v>
      </c>
      <c r="D1576" s="18">
        <v>45730</v>
      </c>
      <c r="E1576" s="18">
        <v>45730</v>
      </c>
      <c r="F1576" s="13">
        <v>1017</v>
      </c>
      <c r="G1576" t="str">
        <f>VLOOKUP(F1576,'Liste Formations'!$A$5:$B$182,2,FALSE)</f>
        <v>R. S.S.T. Recyclage Sauveteurs Secourites du Travail</v>
      </c>
      <c r="H1576" s="75">
        <v>7</v>
      </c>
      <c r="I1576" t="s">
        <v>280</v>
      </c>
    </row>
    <row r="1578" spans="1:9" x14ac:dyDescent="0.25">
      <c r="A1578">
        <v>329</v>
      </c>
      <c r="B1578" t="s">
        <v>215</v>
      </c>
      <c r="C1578">
        <v>2014</v>
      </c>
      <c r="F1578" s="13">
        <v>2014</v>
      </c>
      <c r="G1578" t="str">
        <f>VLOOKUP(F1578,'Liste Formations'!$A$5:$B$182,2,FALSE)</f>
        <v>Gestion Projet + ISO T.S.</v>
      </c>
      <c r="H1578">
        <v>7</v>
      </c>
    </row>
    <row r="1579" spans="1:9" x14ac:dyDescent="0.25">
      <c r="A1579">
        <v>329</v>
      </c>
      <c r="B1579" t="s">
        <v>215</v>
      </c>
      <c r="C1579">
        <v>2015</v>
      </c>
      <c r="F1579" s="13">
        <v>2041</v>
      </c>
      <c r="G1579" t="str">
        <f>VLOOKUP(F1579,'Liste Formations'!$A$5:$B$182,2,FALSE)</f>
        <v>Excel</v>
      </c>
      <c r="H1579">
        <v>24</v>
      </c>
    </row>
    <row r="1580" spans="1:9" x14ac:dyDescent="0.25">
      <c r="A1580">
        <v>329</v>
      </c>
      <c r="B1580" t="s">
        <v>215</v>
      </c>
      <c r="C1580">
        <v>2016</v>
      </c>
      <c r="F1580" s="13">
        <v>2007</v>
      </c>
      <c r="G1580" t="str">
        <f>VLOOKUP(F1580,'Liste Formations'!$A$5:$B$182,2,FALSE)</f>
        <v>ERP DIVALTO</v>
      </c>
      <c r="H1580">
        <v>42</v>
      </c>
    </row>
    <row r="1581" spans="1:9" x14ac:dyDescent="0.25">
      <c r="A1581">
        <v>329</v>
      </c>
      <c r="B1581" t="s">
        <v>215</v>
      </c>
      <c r="C1581">
        <v>2016</v>
      </c>
      <c r="F1581" s="13">
        <v>2029</v>
      </c>
      <c r="G1581" t="str">
        <f>VLOOKUP(F1581,'Liste Formations'!$A$5:$B$182,2,FALSE)</f>
        <v>CORE
TOOLS</v>
      </c>
      <c r="H1581">
        <v>7</v>
      </c>
    </row>
    <row r="1582" spans="1:9" x14ac:dyDescent="0.25">
      <c r="A1582">
        <v>329</v>
      </c>
      <c r="B1582" t="s">
        <v>215</v>
      </c>
      <c r="C1582">
        <v>2017</v>
      </c>
      <c r="F1582" s="13">
        <v>2007</v>
      </c>
      <c r="G1582" t="str">
        <f>VLOOKUP(F1582,'Liste Formations'!$A$5:$B$182,2,FALSE)</f>
        <v>ERP DIVALTO</v>
      </c>
      <c r="H1582">
        <v>28</v>
      </c>
    </row>
    <row r="1583" spans="1:9" x14ac:dyDescent="0.25">
      <c r="A1583">
        <v>329</v>
      </c>
      <c r="B1583" t="s">
        <v>215</v>
      </c>
      <c r="C1583">
        <v>2018</v>
      </c>
      <c r="F1583" s="13">
        <v>2010</v>
      </c>
      <c r="G1583" t="str">
        <f>VLOOKUP(F1583,'Liste Formations'!$A$5:$B$182,2,FALSE)</f>
        <v>Manager leader</v>
      </c>
      <c r="H1583">
        <v>42</v>
      </c>
    </row>
    <row r="1584" spans="1:9" x14ac:dyDescent="0.25">
      <c r="A1584">
        <v>329</v>
      </c>
      <c r="B1584" t="s">
        <v>215</v>
      </c>
      <c r="C1584">
        <v>2019</v>
      </c>
      <c r="F1584" s="13">
        <v>2007</v>
      </c>
      <c r="G1584" t="str">
        <f>VLOOKUP(F1584,'Liste Formations'!$A$5:$B$182,2,FALSE)</f>
        <v>ERP DIVALTO</v>
      </c>
      <c r="H1584">
        <v>14</v>
      </c>
    </row>
    <row r="1585" spans="1:8" x14ac:dyDescent="0.25">
      <c r="A1585">
        <v>329</v>
      </c>
      <c r="B1585" t="s">
        <v>215</v>
      </c>
      <c r="C1585">
        <v>2021</v>
      </c>
      <c r="F1585" s="13">
        <v>2011</v>
      </c>
      <c r="G1585" t="str">
        <f>VLOOKUP(F1585,'Liste Formations'!$A$5:$B$182,2,FALSE)</f>
        <v>Stratégie et bonnes pratiques de présence pro sur Linkedin</v>
      </c>
      <c r="H1585">
        <v>7</v>
      </c>
    </row>
    <row r="1586" spans="1:8" x14ac:dyDescent="0.25">
      <c r="A1586">
        <v>329</v>
      </c>
      <c r="B1586" t="s">
        <v>215</v>
      </c>
      <c r="C1586">
        <v>2024</v>
      </c>
      <c r="F1586" s="13">
        <v>1032</v>
      </c>
      <c r="G1586" t="str">
        <f>VLOOKUP(F1586,'Liste Formations'!$A$5:$B$182,2,FALSE)</f>
        <v>Sensibilisation RPS Risques Psychosociaux</v>
      </c>
      <c r="H1586">
        <v>2</v>
      </c>
    </row>
    <row r="1587" spans="1:8" x14ac:dyDescent="0.25">
      <c r="A1587">
        <v>329</v>
      </c>
      <c r="B1587" t="s">
        <v>215</v>
      </c>
      <c r="C1587">
        <v>2024</v>
      </c>
      <c r="F1587" s="13">
        <v>2044</v>
      </c>
      <c r="G1587" s="15" t="s">
        <v>185</v>
      </c>
      <c r="H1587">
        <v>14</v>
      </c>
    </row>
    <row r="1588" spans="1:8" x14ac:dyDescent="0.25">
      <c r="A1588">
        <v>329</v>
      </c>
      <c r="B1588" t="s">
        <v>215</v>
      </c>
      <c r="C1588">
        <v>2024</v>
      </c>
      <c r="D1588" s="18">
        <v>45303</v>
      </c>
      <c r="E1588" s="18">
        <v>45643</v>
      </c>
      <c r="F1588" s="13">
        <v>2040</v>
      </c>
      <c r="G1588" s="15" t="s">
        <v>183</v>
      </c>
      <c r="H1588">
        <v>30</v>
      </c>
    </row>
    <row r="1590" spans="1:8" x14ac:dyDescent="0.25">
      <c r="A1590">
        <v>486</v>
      </c>
      <c r="B1590" t="s">
        <v>141</v>
      </c>
      <c r="C1590">
        <v>2023</v>
      </c>
      <c r="F1590" s="13">
        <v>1009</v>
      </c>
      <c r="G1590" t="str">
        <f>VLOOKUP(F1590,'Liste Formations'!$A$5:$B$182,2,FALSE)</f>
        <v>Défibrillateur</v>
      </c>
      <c r="H1590">
        <v>2</v>
      </c>
    </row>
    <row r="1591" spans="1:8" x14ac:dyDescent="0.25">
      <c r="A1591">
        <v>486</v>
      </c>
      <c r="B1591" t="s">
        <v>141</v>
      </c>
      <c r="C1591">
        <v>2023</v>
      </c>
      <c r="F1591" s="13">
        <v>1010</v>
      </c>
      <c r="G1591" t="str">
        <f>VLOOKUP(F1591,'Liste Formations'!$A$5:$B$182,2,FALSE)</f>
        <v>Incendie</v>
      </c>
      <c r="H1591">
        <v>2</v>
      </c>
    </row>
    <row r="1592" spans="1:8" x14ac:dyDescent="0.25">
      <c r="A1592">
        <v>486</v>
      </c>
      <c r="B1592" t="s">
        <v>141</v>
      </c>
      <c r="C1592">
        <v>2023</v>
      </c>
      <c r="F1592" s="13">
        <v>1012</v>
      </c>
      <c r="G1592" t="str">
        <f>VLOOKUP(F1592,'Liste Formations'!$A$5:$B$182,2,FALSE)</f>
        <v>ATEX Niveau 0 - Sensibilisation</v>
      </c>
      <c r="H1592">
        <v>3.5</v>
      </c>
    </row>
    <row r="1593" spans="1:8" x14ac:dyDescent="0.25">
      <c r="A1593">
        <v>486</v>
      </c>
      <c r="B1593" t="s">
        <v>141</v>
      </c>
      <c r="C1593">
        <v>2023</v>
      </c>
      <c r="F1593" s="13">
        <v>1024</v>
      </c>
      <c r="G1593" t="str">
        <f>VLOOKUP(F1593,'Liste Formations'!$A$5:$B$182,2,FALSE)</f>
        <v>Déversement granulés</v>
      </c>
      <c r="H1593">
        <v>0.5</v>
      </c>
    </row>
    <row r="1594" spans="1:8" x14ac:dyDescent="0.25">
      <c r="A1594">
        <v>486</v>
      </c>
      <c r="B1594" t="s">
        <v>141</v>
      </c>
      <c r="C1594">
        <v>2024</v>
      </c>
      <c r="F1594" s="13">
        <v>1001</v>
      </c>
      <c r="G1594" t="s">
        <v>240</v>
      </c>
      <c r="H1594">
        <v>21</v>
      </c>
    </row>
    <row r="1595" spans="1:8" x14ac:dyDescent="0.25">
      <c r="A1595">
        <v>486</v>
      </c>
      <c r="B1595" t="s">
        <v>141</v>
      </c>
      <c r="C1595">
        <v>2024</v>
      </c>
      <c r="F1595" s="13">
        <v>1002</v>
      </c>
      <c r="G1595" t="s">
        <v>204</v>
      </c>
      <c r="H1595">
        <v>14</v>
      </c>
    </row>
    <row r="1596" spans="1:8" x14ac:dyDescent="0.25">
      <c r="A1596">
        <v>486</v>
      </c>
      <c r="B1596" t="s">
        <v>141</v>
      </c>
      <c r="C1596">
        <v>2024</v>
      </c>
      <c r="F1596" s="13">
        <v>1020</v>
      </c>
      <c r="G1596" t="s">
        <v>202</v>
      </c>
      <c r="H1596">
        <v>3.5</v>
      </c>
    </row>
    <row r="1597" spans="1:8" x14ac:dyDescent="0.25">
      <c r="A1597">
        <v>486</v>
      </c>
      <c r="B1597" t="s">
        <v>141</v>
      </c>
      <c r="C1597">
        <v>2024</v>
      </c>
      <c r="F1597" s="13">
        <v>1032</v>
      </c>
      <c r="G1597" t="str">
        <f>VLOOKUP(F1597,'Liste Formations'!$A$5:$B$182,2,FALSE)</f>
        <v>Sensibilisation RPS Risques Psychosociaux</v>
      </c>
      <c r="H1597">
        <v>2</v>
      </c>
    </row>
    <row r="1599" spans="1:8" x14ac:dyDescent="0.25">
      <c r="A1599">
        <v>366</v>
      </c>
      <c r="B1599" t="s">
        <v>142</v>
      </c>
      <c r="C1599">
        <v>2017</v>
      </c>
      <c r="F1599" s="13">
        <v>3038</v>
      </c>
      <c r="G1599" t="str">
        <f>VLOOKUP(F1599,'Liste Formations'!$A$5:$B$182,2,FALSE)</f>
        <v>Poste 1401</v>
      </c>
      <c r="H1599">
        <v>291.67</v>
      </c>
    </row>
    <row r="1600" spans="1:8" x14ac:dyDescent="0.25">
      <c r="A1600">
        <v>366</v>
      </c>
      <c r="B1600" t="s">
        <v>142</v>
      </c>
      <c r="C1600">
        <v>2018</v>
      </c>
      <c r="F1600" s="13">
        <v>3001</v>
      </c>
      <c r="G1600" t="str">
        <f>VLOOKUP(F1600,'Liste Formations'!$A$5:$B$182,2,FALSE)</f>
        <v>Poste 506</v>
      </c>
      <c r="H1600">
        <v>151.66999999999999</v>
      </c>
    </row>
    <row r="1601" spans="1:9" x14ac:dyDescent="0.25">
      <c r="A1601">
        <v>366</v>
      </c>
      <c r="B1601" t="s">
        <v>142</v>
      </c>
      <c r="C1601">
        <v>2019</v>
      </c>
      <c r="F1601" s="13">
        <v>3038</v>
      </c>
      <c r="G1601" t="str">
        <f>VLOOKUP(F1601,'Liste Formations'!$A$5:$B$182,2,FALSE)</f>
        <v>Poste 1401</v>
      </c>
      <c r="H1601">
        <v>151.66999999999999</v>
      </c>
    </row>
    <row r="1602" spans="1:9" x14ac:dyDescent="0.25">
      <c r="A1602">
        <v>366</v>
      </c>
      <c r="B1602" t="s">
        <v>142</v>
      </c>
      <c r="C1602">
        <v>2020</v>
      </c>
      <c r="F1602" s="13">
        <v>3013</v>
      </c>
      <c r="G1602" t="str">
        <f>VLOOKUP(F1602,'Liste Formations'!$A$5:$B$182,2,FALSE)</f>
        <v>Poste 901</v>
      </c>
      <c r="H1602">
        <v>120</v>
      </c>
    </row>
    <row r="1603" spans="1:9" x14ac:dyDescent="0.25">
      <c r="A1603">
        <v>366</v>
      </c>
      <c r="B1603" t="s">
        <v>142</v>
      </c>
      <c r="C1603">
        <v>2023</v>
      </c>
      <c r="F1603" s="13">
        <v>1002</v>
      </c>
      <c r="G1603" t="str">
        <f>VLOOKUP(F1603,'Liste Formations'!$A$5:$B$182,2,FALSE)</f>
        <v>Conduite Chariots Cat.3 et Cat.5</v>
      </c>
      <c r="H1603">
        <v>14</v>
      </c>
    </row>
    <row r="1604" spans="1:9" x14ac:dyDescent="0.25">
      <c r="A1604">
        <v>366</v>
      </c>
      <c r="B1604" t="s">
        <v>142</v>
      </c>
      <c r="C1604">
        <v>2023</v>
      </c>
      <c r="F1604" s="13">
        <v>1009</v>
      </c>
      <c r="G1604" t="str">
        <f>VLOOKUP(F1604,'Liste Formations'!$A$5:$B$182,2,FALSE)</f>
        <v>Défibrillateur</v>
      </c>
      <c r="H1604">
        <v>2</v>
      </c>
    </row>
    <row r="1605" spans="1:9" x14ac:dyDescent="0.25">
      <c r="A1605">
        <v>366</v>
      </c>
      <c r="B1605" t="s">
        <v>142</v>
      </c>
      <c r="C1605">
        <v>2023</v>
      </c>
      <c r="F1605" s="13">
        <v>1010</v>
      </c>
      <c r="G1605" t="str">
        <f>VLOOKUP(F1605,'Liste Formations'!$A$5:$B$182,2,FALSE)</f>
        <v>Incendie</v>
      </c>
      <c r="H1605">
        <v>2</v>
      </c>
    </row>
    <row r="1606" spans="1:9" x14ac:dyDescent="0.25">
      <c r="A1606">
        <v>366</v>
      </c>
      <c r="B1606" t="s">
        <v>142</v>
      </c>
      <c r="C1606">
        <v>2023</v>
      </c>
      <c r="F1606" s="13">
        <v>1024</v>
      </c>
      <c r="G1606" t="str">
        <f>VLOOKUP(F1606,'Liste Formations'!$A$5:$B$182,2,FALSE)</f>
        <v>Déversement granulés</v>
      </c>
      <c r="H1606">
        <v>0.5</v>
      </c>
    </row>
    <row r="1607" spans="1:9" x14ac:dyDescent="0.25">
      <c r="A1607">
        <v>366</v>
      </c>
      <c r="B1607" t="s">
        <v>142</v>
      </c>
      <c r="C1607">
        <v>2023</v>
      </c>
      <c r="F1607" s="13">
        <v>1030</v>
      </c>
      <c r="G1607" t="str">
        <f>VLOOKUP(F1607,'Liste Formations'!$A$5:$B$182,2,FALSE)</f>
        <v>Utilisation PTI</v>
      </c>
      <c r="H1607">
        <v>0.5</v>
      </c>
    </row>
    <row r="1608" spans="1:9" x14ac:dyDescent="0.25">
      <c r="A1608">
        <v>366</v>
      </c>
      <c r="B1608" t="s">
        <v>142</v>
      </c>
      <c r="C1608">
        <v>2023</v>
      </c>
      <c r="F1608" s="13">
        <v>3012</v>
      </c>
      <c r="G1608" t="str">
        <f>VLOOKUP(F1608,'Liste Formations'!$A$5:$B$182,2,FALSE)</f>
        <v>Poste 900</v>
      </c>
      <c r="H1608">
        <v>151.66999999999999</v>
      </c>
    </row>
    <row r="1609" spans="1:9" x14ac:dyDescent="0.25">
      <c r="A1609">
        <v>366</v>
      </c>
      <c r="B1609" t="s">
        <v>142</v>
      </c>
      <c r="C1609">
        <v>2024</v>
      </c>
      <c r="F1609" s="13">
        <v>1009</v>
      </c>
      <c r="G1609" t="s">
        <v>221</v>
      </c>
      <c r="H1609">
        <v>2</v>
      </c>
    </row>
    <row r="1610" spans="1:9" x14ac:dyDescent="0.25">
      <c r="A1610">
        <v>366</v>
      </c>
      <c r="B1610" t="s">
        <v>142</v>
      </c>
      <c r="C1610">
        <v>2024</v>
      </c>
      <c r="F1610" s="13">
        <v>1010</v>
      </c>
      <c r="G1610" t="s">
        <v>222</v>
      </c>
      <c r="H1610">
        <v>2</v>
      </c>
    </row>
    <row r="1611" spans="1:9" x14ac:dyDescent="0.25">
      <c r="A1611">
        <v>366</v>
      </c>
      <c r="B1611" t="s">
        <v>142</v>
      </c>
      <c r="C1611">
        <v>2025</v>
      </c>
      <c r="D1611" s="18">
        <v>45820</v>
      </c>
      <c r="E1611" s="18">
        <v>45820</v>
      </c>
      <c r="F1611" s="13">
        <v>2031</v>
      </c>
      <c r="G1611" s="15" t="s">
        <v>180</v>
      </c>
      <c r="H1611" s="75">
        <v>1.5</v>
      </c>
      <c r="I1611" t="s">
        <v>304</v>
      </c>
    </row>
    <row r="1613" spans="1:9" x14ac:dyDescent="0.25">
      <c r="A1613">
        <v>448</v>
      </c>
      <c r="B1613" t="s">
        <v>239</v>
      </c>
      <c r="C1613">
        <v>2022</v>
      </c>
      <c r="F1613" s="13">
        <v>3021</v>
      </c>
      <c r="G1613" t="str">
        <f>VLOOKUP(F1613,'Liste Formations'!$A$5:$B$182,2,FALSE)</f>
        <v>Poste 912</v>
      </c>
      <c r="H1613">
        <v>151.66999999999999</v>
      </c>
    </row>
    <row r="1614" spans="1:9" x14ac:dyDescent="0.25">
      <c r="A1614">
        <v>448</v>
      </c>
      <c r="B1614" t="s">
        <v>239</v>
      </c>
      <c r="C1614">
        <v>2022</v>
      </c>
      <c r="F1614" s="13">
        <v>3006</v>
      </c>
      <c r="G1614" t="str">
        <f>VLOOKUP(F1614,'Liste Formations'!$A$5:$B$182,2,FALSE)</f>
        <v>Poste 515</v>
      </c>
      <c r="H1614">
        <v>151.66999999999999</v>
      </c>
    </row>
    <row r="1615" spans="1:9" x14ac:dyDescent="0.25">
      <c r="A1615">
        <v>448</v>
      </c>
      <c r="B1615" t="s">
        <v>239</v>
      </c>
      <c r="C1615">
        <v>2022</v>
      </c>
      <c r="F1615" s="13">
        <v>1004</v>
      </c>
      <c r="G1615" t="str">
        <f>VLOOKUP(F1615,'Liste Formations'!$A$5:$B$182,2,FALSE)</f>
        <v>Conduite Chariots Cat.3</v>
      </c>
      <c r="H1615">
        <v>7</v>
      </c>
    </row>
    <row r="1616" spans="1:9" x14ac:dyDescent="0.25">
      <c r="A1616">
        <v>448</v>
      </c>
      <c r="B1616" t="s">
        <v>239</v>
      </c>
      <c r="C1616">
        <v>2023</v>
      </c>
      <c r="F1616" s="13">
        <v>1030</v>
      </c>
      <c r="G1616" t="str">
        <f>VLOOKUP(F1616,'Liste Formations'!$A$5:$B$182,2,FALSE)</f>
        <v>Utilisation PTI</v>
      </c>
      <c r="H1616">
        <v>0.5</v>
      </c>
    </row>
    <row r="1617" spans="1:9" x14ac:dyDescent="0.25">
      <c r="A1617">
        <v>448</v>
      </c>
      <c r="B1617" t="s">
        <v>239</v>
      </c>
      <c r="C1617">
        <v>2024</v>
      </c>
      <c r="F1617" s="13">
        <v>3010</v>
      </c>
      <c r="G1617" s="15" t="s">
        <v>35</v>
      </c>
      <c r="H1617" s="73">
        <v>105</v>
      </c>
    </row>
    <row r="1618" spans="1:9" x14ac:dyDescent="0.25">
      <c r="A1618">
        <v>448</v>
      </c>
      <c r="B1618" t="s">
        <v>239</v>
      </c>
      <c r="C1618">
        <v>2024</v>
      </c>
      <c r="F1618" s="13">
        <v>3011</v>
      </c>
      <c r="G1618" s="15" t="s">
        <v>238</v>
      </c>
      <c r="H1618" s="73">
        <v>16</v>
      </c>
    </row>
    <row r="1619" spans="1:9" x14ac:dyDescent="0.25">
      <c r="A1619">
        <v>448</v>
      </c>
      <c r="B1619" t="s">
        <v>239</v>
      </c>
      <c r="C1619">
        <v>2025</v>
      </c>
      <c r="D1619" s="18">
        <v>45658</v>
      </c>
      <c r="E1619" s="18">
        <v>45688</v>
      </c>
      <c r="F1619" s="13">
        <v>3037</v>
      </c>
      <c r="G1619" s="15" t="s">
        <v>29</v>
      </c>
      <c r="H1619" s="75">
        <v>35</v>
      </c>
      <c r="I1619" t="s">
        <v>308</v>
      </c>
    </row>
    <row r="1620" spans="1:9" x14ac:dyDescent="0.25">
      <c r="D1620" s="18"/>
      <c r="E1620" s="18"/>
      <c r="G1620" s="15"/>
    </row>
    <row r="1621" spans="1:9" x14ac:dyDescent="0.25">
      <c r="A1621">
        <v>490</v>
      </c>
      <c r="B1621" t="s">
        <v>172</v>
      </c>
      <c r="C1621">
        <v>2024</v>
      </c>
      <c r="F1621" s="13">
        <v>3021</v>
      </c>
      <c r="G1621" t="s">
        <v>32</v>
      </c>
      <c r="H1621">
        <v>105</v>
      </c>
    </row>
    <row r="1622" spans="1:9" x14ac:dyDescent="0.25">
      <c r="A1622">
        <v>490</v>
      </c>
      <c r="B1622" t="s">
        <v>172</v>
      </c>
      <c r="C1622">
        <v>2025</v>
      </c>
      <c r="D1622" s="18">
        <v>45835</v>
      </c>
      <c r="E1622" s="18">
        <v>45842</v>
      </c>
      <c r="F1622" s="13">
        <v>1004</v>
      </c>
      <c r="G1622" t="s">
        <v>206</v>
      </c>
      <c r="H1622">
        <v>14</v>
      </c>
      <c r="I1622" t="s">
        <v>313</v>
      </c>
    </row>
    <row r="1623" spans="1:9" x14ac:dyDescent="0.25">
      <c r="A1623">
        <v>490</v>
      </c>
      <c r="B1623" t="s">
        <v>172</v>
      </c>
      <c r="C1623">
        <v>2025</v>
      </c>
      <c r="D1623" s="18">
        <v>45919</v>
      </c>
      <c r="E1623" s="18">
        <v>45926</v>
      </c>
      <c r="F1623" s="13">
        <v>1016</v>
      </c>
      <c r="G1623" t="s">
        <v>207</v>
      </c>
      <c r="H1623">
        <v>14</v>
      </c>
      <c r="I1623" t="s">
        <v>313</v>
      </c>
    </row>
    <row r="1624" spans="1:9" x14ac:dyDescent="0.25">
      <c r="D1624" s="18"/>
      <c r="E1624" s="18"/>
    </row>
    <row r="1625" spans="1:9" x14ac:dyDescent="0.25">
      <c r="D1625" s="18"/>
      <c r="E1625" s="18"/>
    </row>
    <row r="1626" spans="1:9" x14ac:dyDescent="0.25">
      <c r="A1626">
        <v>10000039</v>
      </c>
      <c r="B1626" t="s">
        <v>315</v>
      </c>
      <c r="C1626">
        <v>2025</v>
      </c>
      <c r="D1626" s="18">
        <v>45887</v>
      </c>
      <c r="E1626" s="18">
        <v>45916</v>
      </c>
      <c r="F1626" s="13">
        <v>3040</v>
      </c>
      <c r="G1626" s="15" t="s">
        <v>27</v>
      </c>
      <c r="H1626" s="73">
        <v>105</v>
      </c>
    </row>
    <row r="1627" spans="1:9" x14ac:dyDescent="0.25">
      <c r="A1627">
        <v>10000039</v>
      </c>
      <c r="B1627" t="s">
        <v>315</v>
      </c>
      <c r="C1627">
        <v>2025</v>
      </c>
      <c r="D1627" s="18">
        <v>45916</v>
      </c>
      <c r="E1627" s="18">
        <v>45945</v>
      </c>
      <c r="F1627" s="13">
        <v>3040</v>
      </c>
      <c r="G1627" s="15" t="s">
        <v>27</v>
      </c>
      <c r="H1627">
        <v>70</v>
      </c>
    </row>
    <row r="1628" spans="1:9" x14ac:dyDescent="0.25">
      <c r="D1628" s="18"/>
      <c r="E1628" s="18"/>
    </row>
    <row r="1629" spans="1:9" x14ac:dyDescent="0.25">
      <c r="D1629" s="18"/>
      <c r="F1629"/>
    </row>
    <row r="1630" spans="1:9" x14ac:dyDescent="0.25">
      <c r="A1630">
        <v>326</v>
      </c>
      <c r="B1630" t="s">
        <v>143</v>
      </c>
      <c r="C1630">
        <v>2013</v>
      </c>
      <c r="F1630" s="13">
        <v>3002</v>
      </c>
      <c r="G1630" t="str">
        <f>VLOOKUP(F1630,'Liste Formations'!$A$5:$B$182,2,FALSE)</f>
        <v>Poste 507</v>
      </c>
      <c r="H1630">
        <v>151.66999999999999</v>
      </c>
    </row>
    <row r="1631" spans="1:9" x14ac:dyDescent="0.25">
      <c r="A1631">
        <v>326</v>
      </c>
      <c r="B1631" t="s">
        <v>143</v>
      </c>
      <c r="C1631">
        <v>2014</v>
      </c>
      <c r="F1631" s="13">
        <v>1004</v>
      </c>
      <c r="G1631" t="str">
        <f>VLOOKUP(F1631,'Liste Formations'!$A$5:$B$182,2,FALSE)</f>
        <v>Conduite Chariots Cat.3</v>
      </c>
      <c r="H1631">
        <v>7</v>
      </c>
    </row>
    <row r="1632" spans="1:9" x14ac:dyDescent="0.25">
      <c r="A1632">
        <v>326</v>
      </c>
      <c r="B1632" t="s">
        <v>143</v>
      </c>
      <c r="C1632">
        <v>2014</v>
      </c>
      <c r="F1632" s="13">
        <v>3002</v>
      </c>
      <c r="G1632" t="str">
        <f>VLOOKUP(F1632,'Liste Formations'!$A$5:$B$182,2,FALSE)</f>
        <v>Poste 507</v>
      </c>
      <c r="H1632">
        <v>151.66999999999999</v>
      </c>
    </row>
    <row r="1633" spans="1:8" x14ac:dyDescent="0.25">
      <c r="A1633">
        <v>326</v>
      </c>
      <c r="B1633" t="s">
        <v>143</v>
      </c>
      <c r="C1633">
        <v>2014</v>
      </c>
      <c r="F1633" s="13">
        <v>3005</v>
      </c>
      <c r="G1633" t="str">
        <f>VLOOKUP(F1633,'Liste Formations'!$A$5:$B$182,2,FALSE)</f>
        <v>Poste 514</v>
      </c>
      <c r="H1633">
        <v>151.66999999999999</v>
      </c>
    </row>
    <row r="1634" spans="1:8" x14ac:dyDescent="0.25">
      <c r="A1634">
        <v>326</v>
      </c>
      <c r="B1634" t="s">
        <v>143</v>
      </c>
      <c r="C1634">
        <v>2014</v>
      </c>
      <c r="F1634" s="13">
        <v>3006</v>
      </c>
      <c r="G1634" t="str">
        <f>VLOOKUP(F1634,'Liste Formations'!$A$5:$B$182,2,FALSE)</f>
        <v>Poste 515</v>
      </c>
      <c r="H1634">
        <v>151.66999999999999</v>
      </c>
    </row>
    <row r="1635" spans="1:8" x14ac:dyDescent="0.25">
      <c r="A1635">
        <v>326</v>
      </c>
      <c r="B1635" t="s">
        <v>143</v>
      </c>
      <c r="C1635">
        <v>2015</v>
      </c>
      <c r="F1635" s="13">
        <v>3040</v>
      </c>
      <c r="G1635" t="str">
        <f>VLOOKUP(F1635,'Liste Formations'!$A$5:$B$182,2,FALSE)</f>
        <v>Poste 1404</v>
      </c>
      <c r="H1635">
        <v>151.66999999999999</v>
      </c>
    </row>
    <row r="1636" spans="1:8" x14ac:dyDescent="0.25">
      <c r="A1636">
        <v>326</v>
      </c>
      <c r="B1636" t="s">
        <v>143</v>
      </c>
      <c r="C1636">
        <v>2016</v>
      </c>
      <c r="F1636" s="13">
        <v>3002</v>
      </c>
      <c r="G1636" t="str">
        <f>VLOOKUP(F1636,'Liste Formations'!$A$5:$B$182,2,FALSE)</f>
        <v>Poste 507</v>
      </c>
      <c r="H1636">
        <v>151.66999999999999</v>
      </c>
    </row>
    <row r="1637" spans="1:8" x14ac:dyDescent="0.25">
      <c r="A1637">
        <v>326</v>
      </c>
      <c r="B1637" t="s">
        <v>143</v>
      </c>
      <c r="C1637">
        <v>2016</v>
      </c>
      <c r="F1637" s="13">
        <v>3005</v>
      </c>
      <c r="G1637" t="str">
        <f>VLOOKUP(F1637,'Liste Formations'!$A$5:$B$182,2,FALSE)</f>
        <v>Poste 514</v>
      </c>
      <c r="H1637">
        <v>151.66999999999999</v>
      </c>
    </row>
    <row r="1638" spans="1:8" x14ac:dyDescent="0.25">
      <c r="A1638">
        <v>326</v>
      </c>
      <c r="B1638" t="s">
        <v>143</v>
      </c>
      <c r="C1638">
        <v>2016</v>
      </c>
      <c r="F1638" s="13">
        <v>3006</v>
      </c>
      <c r="G1638" t="str">
        <f>VLOOKUP(F1638,'Liste Formations'!$A$5:$B$182,2,FALSE)</f>
        <v>Poste 515</v>
      </c>
      <c r="H1638">
        <v>151.66999999999999</v>
      </c>
    </row>
    <row r="1639" spans="1:8" x14ac:dyDescent="0.25">
      <c r="A1639">
        <v>326</v>
      </c>
      <c r="B1639" t="s">
        <v>143</v>
      </c>
      <c r="C1639">
        <v>2017</v>
      </c>
      <c r="F1639" s="13">
        <v>2007</v>
      </c>
      <c r="G1639" t="str">
        <f>VLOOKUP(F1639,'Liste Formations'!$A$5:$B$182,2,FALSE)</f>
        <v>ERP DIVALTO</v>
      </c>
      <c r="H1639">
        <v>7</v>
      </c>
    </row>
    <row r="1640" spans="1:8" x14ac:dyDescent="0.25">
      <c r="A1640">
        <v>326</v>
      </c>
      <c r="B1640" t="s">
        <v>143</v>
      </c>
      <c r="C1640">
        <v>2017</v>
      </c>
      <c r="F1640" s="13">
        <v>3040</v>
      </c>
      <c r="G1640" t="str">
        <f>VLOOKUP(F1640,'Liste Formations'!$A$5:$B$182,2,FALSE)</f>
        <v>Poste 1404</v>
      </c>
      <c r="H1640">
        <v>140</v>
      </c>
    </row>
    <row r="1641" spans="1:8" x14ac:dyDescent="0.25">
      <c r="A1641">
        <v>326</v>
      </c>
      <c r="B1641" t="s">
        <v>143</v>
      </c>
      <c r="C1641">
        <v>2018</v>
      </c>
      <c r="F1641" s="13">
        <v>3002</v>
      </c>
      <c r="G1641" t="str">
        <f>VLOOKUP(F1641,'Liste Formations'!$A$5:$B$182,2,FALSE)</f>
        <v>Poste 507</v>
      </c>
      <c r="H1641">
        <v>151.66999999999999</v>
      </c>
    </row>
    <row r="1642" spans="1:8" x14ac:dyDescent="0.25">
      <c r="A1642">
        <v>326</v>
      </c>
      <c r="B1642" t="s">
        <v>143</v>
      </c>
      <c r="C1642">
        <v>2018</v>
      </c>
      <c r="F1642" s="13">
        <v>3005</v>
      </c>
      <c r="G1642" t="str">
        <f>VLOOKUP(F1642,'Liste Formations'!$A$5:$B$182,2,FALSE)</f>
        <v>Poste 514</v>
      </c>
      <c r="H1642">
        <v>151.66999999999999</v>
      </c>
    </row>
    <row r="1643" spans="1:8" x14ac:dyDescent="0.25">
      <c r="A1643">
        <v>326</v>
      </c>
      <c r="B1643" t="s">
        <v>143</v>
      </c>
      <c r="C1643">
        <v>2018</v>
      </c>
      <c r="F1643" s="13">
        <v>3006</v>
      </c>
      <c r="G1643" t="str">
        <f>VLOOKUP(F1643,'Liste Formations'!$A$5:$B$182,2,FALSE)</f>
        <v>Poste 515</v>
      </c>
      <c r="H1643">
        <v>151.66999999999999</v>
      </c>
    </row>
    <row r="1644" spans="1:8" x14ac:dyDescent="0.25">
      <c r="A1644">
        <v>326</v>
      </c>
      <c r="B1644" t="s">
        <v>143</v>
      </c>
      <c r="C1644">
        <v>2018</v>
      </c>
      <c r="F1644" s="13">
        <v>3007</v>
      </c>
      <c r="G1644" t="str">
        <f>VLOOKUP(F1644,'Liste Formations'!$A$5:$B$182,2,FALSE)</f>
        <v>Poste 516</v>
      </c>
      <c r="H1644">
        <v>151.66999999999999</v>
      </c>
    </row>
    <row r="1645" spans="1:8" x14ac:dyDescent="0.25">
      <c r="A1645">
        <v>326</v>
      </c>
      <c r="B1645" t="s">
        <v>143</v>
      </c>
      <c r="C1645">
        <v>2018</v>
      </c>
      <c r="F1645" s="13">
        <v>3039</v>
      </c>
      <c r="G1645" t="str">
        <f>VLOOKUP(F1645,'Liste Formations'!$A$5:$B$182,2,FALSE)</f>
        <v>Poste 1402</v>
      </c>
      <c r="H1645">
        <v>151.66999999999999</v>
      </c>
    </row>
    <row r="1646" spans="1:8" x14ac:dyDescent="0.25">
      <c r="A1646">
        <v>326</v>
      </c>
      <c r="B1646" t="s">
        <v>143</v>
      </c>
      <c r="C1646">
        <v>2018</v>
      </c>
      <c r="F1646" s="13">
        <v>3040</v>
      </c>
      <c r="G1646" t="str">
        <f>VLOOKUP(F1646,'Liste Formations'!$A$5:$B$182,2,FALSE)</f>
        <v>Poste 1404</v>
      </c>
      <c r="H1646">
        <v>151.66999999999999</v>
      </c>
    </row>
    <row r="1647" spans="1:8" x14ac:dyDescent="0.25">
      <c r="A1647">
        <v>326</v>
      </c>
      <c r="B1647" t="s">
        <v>143</v>
      </c>
      <c r="C1647">
        <v>2019</v>
      </c>
      <c r="F1647" s="13">
        <v>1004</v>
      </c>
      <c r="G1647" t="str">
        <f>VLOOKUP(F1647,'Liste Formations'!$A$5:$B$182,2,FALSE)</f>
        <v>Conduite Chariots Cat.3</v>
      </c>
      <c r="H1647">
        <v>7</v>
      </c>
    </row>
    <row r="1648" spans="1:8" x14ac:dyDescent="0.25">
      <c r="A1648">
        <v>326</v>
      </c>
      <c r="B1648" t="s">
        <v>143</v>
      </c>
      <c r="C1648">
        <v>2019</v>
      </c>
      <c r="F1648" s="13">
        <v>1016</v>
      </c>
      <c r="G1648" t="str">
        <f>VLOOKUP(F1648,'Liste Formations'!$A$5:$B$182,2,FALSE)</f>
        <v>S.S.T. Sauveteurs Secourites du Travail</v>
      </c>
      <c r="H1648">
        <v>14</v>
      </c>
    </row>
    <row r="1649" spans="1:8" x14ac:dyDescent="0.25">
      <c r="A1649">
        <v>326</v>
      </c>
      <c r="B1649" t="s">
        <v>143</v>
      </c>
      <c r="C1649">
        <v>2019</v>
      </c>
      <c r="F1649" s="13">
        <v>1022</v>
      </c>
      <c r="G1649" t="str">
        <f>VLOOKUP(F1649,'Liste Formations'!$A$5:$B$182,2,FALSE)</f>
        <v>Sensibilisation au bruit</v>
      </c>
      <c r="H1649">
        <v>0.16</v>
      </c>
    </row>
    <row r="1650" spans="1:8" x14ac:dyDescent="0.25">
      <c r="A1650">
        <v>326</v>
      </c>
      <c r="B1650" t="s">
        <v>143</v>
      </c>
      <c r="C1650">
        <v>2019</v>
      </c>
      <c r="F1650" s="13">
        <v>3038</v>
      </c>
      <c r="G1650" t="str">
        <f>VLOOKUP(F1650,'Liste Formations'!$A$5:$B$182,2,FALSE)</f>
        <v>Poste 1401</v>
      </c>
      <c r="H1650">
        <v>151.66999999999999</v>
      </c>
    </row>
    <row r="1651" spans="1:8" x14ac:dyDescent="0.25">
      <c r="A1651">
        <v>326</v>
      </c>
      <c r="B1651" t="s">
        <v>143</v>
      </c>
      <c r="C1651">
        <v>2019</v>
      </c>
      <c r="F1651" s="13">
        <v>3041</v>
      </c>
      <c r="G1651" t="str">
        <f>VLOOKUP(F1651,'Liste Formations'!$A$5:$B$182,2,FALSE)</f>
        <v>Poste 1405</v>
      </c>
      <c r="H1651">
        <v>151.66999999999999</v>
      </c>
    </row>
    <row r="1652" spans="1:8" x14ac:dyDescent="0.25">
      <c r="A1652">
        <v>326</v>
      </c>
      <c r="B1652" t="s">
        <v>143</v>
      </c>
      <c r="C1652">
        <v>2020</v>
      </c>
      <c r="F1652" s="13">
        <v>2007</v>
      </c>
      <c r="G1652" t="str">
        <f>VLOOKUP(F1652,'Liste Formations'!$A$5:$B$182,2,FALSE)</f>
        <v>ERP DIVALTO</v>
      </c>
      <c r="H1652">
        <v>2.5</v>
      </c>
    </row>
    <row r="1653" spans="1:8" x14ac:dyDescent="0.25">
      <c r="A1653">
        <v>326</v>
      </c>
      <c r="B1653" t="s">
        <v>143</v>
      </c>
      <c r="C1653">
        <v>2020</v>
      </c>
      <c r="F1653" s="13">
        <v>3001</v>
      </c>
      <c r="G1653" t="str">
        <f>VLOOKUP(F1653,'Liste Formations'!$A$5:$B$182,2,FALSE)</f>
        <v>Poste 506</v>
      </c>
      <c r="H1653">
        <v>151.66999999999999</v>
      </c>
    </row>
    <row r="1654" spans="1:8" x14ac:dyDescent="0.25">
      <c r="A1654">
        <v>326</v>
      </c>
      <c r="B1654" t="s">
        <v>143</v>
      </c>
      <c r="C1654">
        <v>2020</v>
      </c>
      <c r="F1654" s="13">
        <v>3014</v>
      </c>
      <c r="G1654" t="str">
        <f>VLOOKUP(F1654,'Liste Formations'!$A$5:$B$182,2,FALSE)</f>
        <v>Poste 902</v>
      </c>
      <c r="H1654">
        <v>10</v>
      </c>
    </row>
    <row r="1655" spans="1:8" x14ac:dyDescent="0.25">
      <c r="A1655">
        <v>326</v>
      </c>
      <c r="B1655" t="s">
        <v>143</v>
      </c>
      <c r="C1655">
        <v>2020</v>
      </c>
      <c r="F1655" s="13">
        <v>3015</v>
      </c>
      <c r="G1655" t="str">
        <f>VLOOKUP(F1655,'Liste Formations'!$A$5:$B$182,2,FALSE)</f>
        <v>Poste 903</v>
      </c>
      <c r="H1655">
        <v>16</v>
      </c>
    </row>
    <row r="1656" spans="1:8" x14ac:dyDescent="0.25">
      <c r="A1656">
        <v>326</v>
      </c>
      <c r="B1656" t="s">
        <v>143</v>
      </c>
      <c r="C1656">
        <v>2020</v>
      </c>
      <c r="F1656" s="13">
        <v>3016</v>
      </c>
      <c r="G1656" t="str">
        <f>VLOOKUP(F1656,'Liste Formations'!$A$5:$B$182,2,FALSE)</f>
        <v>Poste 904</v>
      </c>
      <c r="H1656">
        <v>16</v>
      </c>
    </row>
    <row r="1657" spans="1:8" x14ac:dyDescent="0.25">
      <c r="A1657">
        <v>326</v>
      </c>
      <c r="B1657" t="s">
        <v>143</v>
      </c>
      <c r="C1657">
        <v>2020</v>
      </c>
      <c r="F1657" s="13">
        <v>3026</v>
      </c>
      <c r="G1657" t="str">
        <f>VLOOKUP(F1657,'Liste Formations'!$A$5:$B$182,2,FALSE)</f>
        <v>Poste 940</v>
      </c>
      <c r="H1657">
        <v>40</v>
      </c>
    </row>
    <row r="1658" spans="1:8" x14ac:dyDescent="0.25">
      <c r="A1658">
        <v>326</v>
      </c>
      <c r="B1658" t="s">
        <v>143</v>
      </c>
      <c r="C1658">
        <v>2020</v>
      </c>
      <c r="F1658" s="13">
        <v>3027</v>
      </c>
      <c r="G1658" t="str">
        <f>VLOOKUP(F1658,'Liste Formations'!$A$5:$B$182,2,FALSE)</f>
        <v>Poste 941</v>
      </c>
      <c r="H1658">
        <v>64</v>
      </c>
    </row>
    <row r="1659" spans="1:8" x14ac:dyDescent="0.25">
      <c r="A1659">
        <v>326</v>
      </c>
      <c r="B1659" t="s">
        <v>143</v>
      </c>
      <c r="C1659">
        <v>2020</v>
      </c>
      <c r="F1659" s="13">
        <v>3028</v>
      </c>
      <c r="G1659" t="str">
        <f>VLOOKUP(F1659,'Liste Formations'!$A$5:$B$182,2,FALSE)</f>
        <v>Poste 942</v>
      </c>
      <c r="H1659">
        <v>66</v>
      </c>
    </row>
    <row r="1660" spans="1:8" x14ac:dyDescent="0.25">
      <c r="A1660">
        <v>326</v>
      </c>
      <c r="B1660" t="s">
        <v>143</v>
      </c>
      <c r="C1660">
        <v>2020</v>
      </c>
      <c r="F1660" s="13">
        <v>3043</v>
      </c>
      <c r="G1660" t="str">
        <f>VLOOKUP(F1660,'Liste Formations'!$A$5:$B$182,2,FALSE)</f>
        <v>Poste 1412</v>
      </c>
      <c r="H1660">
        <v>151.66999999999999</v>
      </c>
    </row>
    <row r="1661" spans="1:8" x14ac:dyDescent="0.25">
      <c r="A1661">
        <v>326</v>
      </c>
      <c r="B1661" t="s">
        <v>143</v>
      </c>
      <c r="C1661">
        <v>2023</v>
      </c>
      <c r="F1661" s="13">
        <v>1002</v>
      </c>
      <c r="G1661" t="str">
        <f>VLOOKUP(F1661,'Liste Formations'!$A$5:$B$182,2,FALSE)</f>
        <v>Conduite Chariots Cat.3 et Cat.5</v>
      </c>
      <c r="H1661">
        <v>14</v>
      </c>
    </row>
    <row r="1662" spans="1:8" x14ac:dyDescent="0.25">
      <c r="A1662">
        <v>326</v>
      </c>
      <c r="B1662" t="s">
        <v>143</v>
      </c>
      <c r="C1662">
        <v>2023</v>
      </c>
      <c r="F1662" s="13">
        <v>1009</v>
      </c>
      <c r="G1662" t="str">
        <f>VLOOKUP(F1662,'Liste Formations'!$A$5:$B$182,2,FALSE)</f>
        <v>Défibrillateur</v>
      </c>
      <c r="H1662">
        <v>2</v>
      </c>
    </row>
    <row r="1663" spans="1:8" x14ac:dyDescent="0.25">
      <c r="A1663">
        <v>326</v>
      </c>
      <c r="B1663" t="s">
        <v>143</v>
      </c>
      <c r="C1663">
        <v>2023</v>
      </c>
      <c r="F1663" s="13">
        <v>1010</v>
      </c>
      <c r="G1663" t="str">
        <f>VLOOKUP(F1663,'Liste Formations'!$A$5:$B$182,2,FALSE)</f>
        <v>Incendie</v>
      </c>
      <c r="H1663">
        <v>2</v>
      </c>
    </row>
    <row r="1664" spans="1:8" x14ac:dyDescent="0.25">
      <c r="A1664">
        <v>326</v>
      </c>
      <c r="B1664" t="s">
        <v>143</v>
      </c>
      <c r="C1664">
        <v>2024</v>
      </c>
      <c r="F1664" s="13">
        <v>1033</v>
      </c>
      <c r="G1664" t="str">
        <f>VLOOKUP(F1664,'Liste Formations'!$A$5:$B$182,2,FALSE)</f>
        <v>Sensibilisation aux addictions</v>
      </c>
      <c r="H1664">
        <v>1.5</v>
      </c>
    </row>
    <row r="1665" spans="1:9" x14ac:dyDescent="0.25">
      <c r="A1665">
        <v>326</v>
      </c>
      <c r="B1665" t="s">
        <v>143</v>
      </c>
      <c r="C1665">
        <v>2024</v>
      </c>
      <c r="F1665" s="13">
        <v>1020</v>
      </c>
      <c r="G1665" t="str">
        <f>VLOOKUP(F1665,'Liste Formations'!$A$5:$B$182,2,FALSE)</f>
        <v>Prévention TMS - Gestes Postures et Nutrition</v>
      </c>
      <c r="H1665">
        <v>3.5</v>
      </c>
    </row>
    <row r="1666" spans="1:9" x14ac:dyDescent="0.25">
      <c r="A1666">
        <v>326</v>
      </c>
      <c r="B1666" t="s">
        <v>143</v>
      </c>
      <c r="C1666">
        <v>2024</v>
      </c>
      <c r="F1666" s="13">
        <v>2031</v>
      </c>
      <c r="G1666" t="str">
        <f>VLOOKUP(F1666,'Liste Formations'!$A$5:$B$182,2,FALSE)</f>
        <v>Qualité</v>
      </c>
      <c r="H1666">
        <v>2</v>
      </c>
    </row>
    <row r="1667" spans="1:9" x14ac:dyDescent="0.25">
      <c r="A1667">
        <v>326</v>
      </c>
      <c r="B1667" t="s">
        <v>143</v>
      </c>
      <c r="C1667">
        <v>2024</v>
      </c>
      <c r="F1667" s="13">
        <v>3037</v>
      </c>
      <c r="G1667" t="str">
        <f>VLOOKUP(F1667,'Liste Formations'!$A$5:$B$182,2,FALSE)</f>
        <v>Poste 1121</v>
      </c>
      <c r="H1667">
        <v>35</v>
      </c>
    </row>
    <row r="1668" spans="1:9" x14ac:dyDescent="0.25">
      <c r="A1668">
        <v>326</v>
      </c>
      <c r="B1668" t="s">
        <v>143</v>
      </c>
      <c r="C1668">
        <v>2024</v>
      </c>
      <c r="F1668" s="13">
        <v>1012</v>
      </c>
      <c r="G1668" t="str">
        <f>VLOOKUP(F1668,'Liste Formations'!$A$5:$B$182,2,FALSE)</f>
        <v>ATEX Niveau 0 - Sensibilisation</v>
      </c>
      <c r="H1668">
        <v>3.5</v>
      </c>
    </row>
    <row r="1669" spans="1:9" x14ac:dyDescent="0.25">
      <c r="A1669">
        <v>326</v>
      </c>
      <c r="B1669" t="s">
        <v>143</v>
      </c>
      <c r="C1669">
        <v>2024</v>
      </c>
      <c r="F1669" s="13">
        <v>1006</v>
      </c>
      <c r="G1669" t="str">
        <f>VLOOKUP(F1669,'Liste Formations'!$A$5:$B$182,2,FALSE)</f>
        <v>Habilitation électrique BE Manœuvre BS</v>
      </c>
      <c r="H1669">
        <v>14</v>
      </c>
    </row>
    <row r="1670" spans="1:9" x14ac:dyDescent="0.25">
      <c r="A1670">
        <v>326</v>
      </c>
      <c r="B1670" t="s">
        <v>143</v>
      </c>
      <c r="C1670">
        <v>2025</v>
      </c>
      <c r="D1670" s="18">
        <v>45723</v>
      </c>
      <c r="E1670" s="18">
        <v>45754</v>
      </c>
      <c r="F1670" s="13">
        <v>3004</v>
      </c>
      <c r="G1670" t="str">
        <f>VLOOKUP(F1670,'Liste Formations'!$A$5:$B$182,2,FALSE)</f>
        <v>Poste 510</v>
      </c>
      <c r="H1670" s="75">
        <v>105</v>
      </c>
      <c r="I1670" t="s">
        <v>308</v>
      </c>
    </row>
    <row r="1672" spans="1:9" x14ac:dyDescent="0.25">
      <c r="A1672">
        <v>190</v>
      </c>
      <c r="B1672" t="s">
        <v>144</v>
      </c>
      <c r="C1672">
        <v>2011</v>
      </c>
      <c r="F1672" s="13">
        <v>2002</v>
      </c>
      <c r="G1672" t="str">
        <f>VLOOKUP(F1672,'Liste Formations'!$A$5:$B$182,2,FALSE)</f>
        <v>IFOCA Initiation Personnel de Laboratoire</v>
      </c>
      <c r="H1672">
        <v>42</v>
      </c>
    </row>
    <row r="1673" spans="1:9" x14ac:dyDescent="0.25">
      <c r="A1673">
        <v>190</v>
      </c>
      <c r="B1673" t="s">
        <v>144</v>
      </c>
      <c r="C1673">
        <v>2012</v>
      </c>
      <c r="F1673" s="13">
        <v>1003</v>
      </c>
      <c r="G1673" t="str">
        <f>VLOOKUP(F1673,'Liste Formations'!$A$5:$B$182,2,FALSE)</f>
        <v>Conduite Chariots Cat.5</v>
      </c>
      <c r="H1673">
        <v>7</v>
      </c>
    </row>
    <row r="1674" spans="1:9" x14ac:dyDescent="0.25">
      <c r="A1674">
        <v>190</v>
      </c>
      <c r="B1674" t="s">
        <v>144</v>
      </c>
      <c r="C1674">
        <v>2012</v>
      </c>
      <c r="F1674" s="13">
        <v>1010</v>
      </c>
      <c r="G1674" t="str">
        <f>VLOOKUP(F1674,'Liste Formations'!$A$5:$B$182,2,FALSE)</f>
        <v>Incendie</v>
      </c>
      <c r="H1674">
        <v>2.5</v>
      </c>
    </row>
    <row r="1675" spans="1:9" x14ac:dyDescent="0.25">
      <c r="A1675">
        <v>190</v>
      </c>
      <c r="B1675" t="s">
        <v>144</v>
      </c>
      <c r="C1675">
        <v>2012</v>
      </c>
      <c r="F1675" s="13">
        <v>1026</v>
      </c>
      <c r="G1675" t="str">
        <f>VLOOKUP(F1675,'Liste Formations'!$A$5:$B$182,2,FALSE)</f>
        <v>Exposition Produits chimiques</v>
      </c>
      <c r="H1675">
        <v>3.5</v>
      </c>
    </row>
    <row r="1676" spans="1:9" x14ac:dyDescent="0.25">
      <c r="A1676">
        <v>190</v>
      </c>
      <c r="B1676" t="s">
        <v>144</v>
      </c>
      <c r="C1676">
        <v>2012</v>
      </c>
      <c r="F1676" s="13">
        <v>3012</v>
      </c>
      <c r="G1676" t="str">
        <f>VLOOKUP(F1676,'Liste Formations'!$A$5:$B$182,2,FALSE)</f>
        <v>Poste 900</v>
      </c>
      <c r="H1676">
        <v>151.66999999999999</v>
      </c>
    </row>
    <row r="1677" spans="1:9" x14ac:dyDescent="0.25">
      <c r="A1677">
        <v>190</v>
      </c>
      <c r="B1677" t="s">
        <v>144</v>
      </c>
      <c r="C1677">
        <v>2013</v>
      </c>
      <c r="F1677" s="13">
        <v>1025</v>
      </c>
      <c r="G1677" t="str">
        <f>VLOOKUP(F1677,'Liste Formations'!$A$5:$B$182,2,FALSE)</f>
        <v>Manipulation Nanocharges</v>
      </c>
      <c r="H1677">
        <v>0.5</v>
      </c>
    </row>
    <row r="1678" spans="1:9" x14ac:dyDescent="0.25">
      <c r="A1678">
        <v>190</v>
      </c>
      <c r="B1678" t="s">
        <v>144</v>
      </c>
      <c r="C1678">
        <v>2013</v>
      </c>
      <c r="F1678" s="13">
        <v>1026</v>
      </c>
      <c r="G1678" t="str">
        <f>VLOOKUP(F1678,'Liste Formations'!$A$5:$B$182,2,FALSE)</f>
        <v>Exposition Produits chimiques</v>
      </c>
      <c r="H1678">
        <v>1</v>
      </c>
    </row>
    <row r="1679" spans="1:9" x14ac:dyDescent="0.25">
      <c r="A1679">
        <v>190</v>
      </c>
      <c r="B1679" t="s">
        <v>144</v>
      </c>
      <c r="C1679">
        <v>2014</v>
      </c>
      <c r="F1679" s="13">
        <v>3012</v>
      </c>
      <c r="G1679" t="str">
        <f>VLOOKUP(F1679,'Liste Formations'!$A$5:$B$182,2,FALSE)</f>
        <v>Poste 900</v>
      </c>
      <c r="H1679">
        <v>151.66999999999999</v>
      </c>
    </row>
    <row r="1680" spans="1:9" x14ac:dyDescent="0.25">
      <c r="A1680">
        <v>190</v>
      </c>
      <c r="B1680" t="s">
        <v>144</v>
      </c>
      <c r="C1680">
        <v>2015</v>
      </c>
      <c r="F1680" s="13">
        <v>1010</v>
      </c>
      <c r="G1680" t="str">
        <f>VLOOKUP(F1680,'Liste Formations'!$A$5:$B$182,2,FALSE)</f>
        <v>Incendie</v>
      </c>
      <c r="H1680">
        <v>3</v>
      </c>
    </row>
    <row r="1681" spans="1:8" x14ac:dyDescent="0.25">
      <c r="A1681">
        <v>190</v>
      </c>
      <c r="B1681" t="s">
        <v>144</v>
      </c>
      <c r="C1681">
        <v>2015</v>
      </c>
      <c r="F1681" s="13">
        <v>2005</v>
      </c>
      <c r="G1681" t="str">
        <f>VLOOKUP(F1681,'Liste Formations'!$A$5:$B$182,2,FALSE)</f>
        <v>Formation LEAN</v>
      </c>
      <c r="H1681">
        <v>2</v>
      </c>
    </row>
    <row r="1682" spans="1:8" x14ac:dyDescent="0.25">
      <c r="A1682">
        <v>190</v>
      </c>
      <c r="B1682" t="s">
        <v>144</v>
      </c>
      <c r="C1682">
        <v>2016</v>
      </c>
      <c r="F1682" s="13">
        <v>3012</v>
      </c>
      <c r="G1682" t="str">
        <f>VLOOKUP(F1682,'Liste Formations'!$A$5:$B$182,2,FALSE)</f>
        <v>Poste 900</v>
      </c>
      <c r="H1682">
        <v>151.66999999999999</v>
      </c>
    </row>
    <row r="1683" spans="1:8" x14ac:dyDescent="0.25">
      <c r="A1683">
        <v>190</v>
      </c>
      <c r="B1683" t="s">
        <v>144</v>
      </c>
      <c r="C1683">
        <v>2018</v>
      </c>
      <c r="F1683" s="13">
        <v>1009</v>
      </c>
      <c r="G1683" t="str">
        <f>VLOOKUP(F1683,'Liste Formations'!$A$5:$B$182,2,FALSE)</f>
        <v>Défibrillateur</v>
      </c>
      <c r="H1683">
        <v>3</v>
      </c>
    </row>
    <row r="1684" spans="1:8" x14ac:dyDescent="0.25">
      <c r="A1684">
        <v>190</v>
      </c>
      <c r="B1684" t="s">
        <v>144</v>
      </c>
      <c r="C1684">
        <v>2018</v>
      </c>
      <c r="F1684" s="13">
        <v>1010</v>
      </c>
      <c r="G1684" t="str">
        <f>VLOOKUP(F1684,'Liste Formations'!$A$5:$B$182,2,FALSE)</f>
        <v>Incendie</v>
      </c>
      <c r="H1684">
        <v>3</v>
      </c>
    </row>
    <row r="1685" spans="1:8" x14ac:dyDescent="0.25">
      <c r="A1685">
        <v>190</v>
      </c>
      <c r="B1685" t="s">
        <v>144</v>
      </c>
      <c r="C1685">
        <v>2018</v>
      </c>
      <c r="F1685" s="13">
        <v>1020</v>
      </c>
      <c r="G1685" t="str">
        <f>VLOOKUP(F1685,'Liste Formations'!$A$5:$B$182,2,FALSE)</f>
        <v>Prévention TMS - Gestes Postures et Nutrition</v>
      </c>
      <c r="H1685">
        <v>3.5</v>
      </c>
    </row>
    <row r="1686" spans="1:8" x14ac:dyDescent="0.25">
      <c r="A1686">
        <v>190</v>
      </c>
      <c r="B1686" t="s">
        <v>144</v>
      </c>
      <c r="C1686">
        <v>2018</v>
      </c>
      <c r="F1686" s="13">
        <v>3012</v>
      </c>
      <c r="G1686" t="str">
        <f>VLOOKUP(F1686,'Liste Formations'!$A$5:$B$182,2,FALSE)</f>
        <v>Poste 900</v>
      </c>
      <c r="H1686">
        <v>151.66999999999999</v>
      </c>
    </row>
    <row r="1687" spans="1:8" x14ac:dyDescent="0.25">
      <c r="A1687">
        <v>190</v>
      </c>
      <c r="B1687" t="s">
        <v>144</v>
      </c>
      <c r="C1687">
        <v>2019</v>
      </c>
      <c r="F1687" s="13">
        <v>3019</v>
      </c>
      <c r="G1687" t="str">
        <f>VLOOKUP(F1687,'Liste Formations'!$A$5:$B$182,2,FALSE)</f>
        <v>Poste 910</v>
      </c>
      <c r="H1687">
        <v>151.66999999999999</v>
      </c>
    </row>
    <row r="1688" spans="1:8" x14ac:dyDescent="0.25">
      <c r="A1688">
        <v>190</v>
      </c>
      <c r="B1688" t="s">
        <v>144</v>
      </c>
      <c r="C1688">
        <v>2019</v>
      </c>
      <c r="F1688" s="13">
        <v>1004</v>
      </c>
      <c r="G1688" t="str">
        <f>VLOOKUP(F1688,'Liste Formations'!$A$5:$B$182,2,FALSE)</f>
        <v>Conduite Chariots Cat.3</v>
      </c>
      <c r="H1688">
        <v>7</v>
      </c>
    </row>
    <row r="1689" spans="1:8" x14ac:dyDescent="0.25">
      <c r="A1689">
        <v>190</v>
      </c>
      <c r="B1689" t="s">
        <v>144</v>
      </c>
      <c r="C1689">
        <v>2023</v>
      </c>
      <c r="F1689" s="13">
        <v>1002</v>
      </c>
      <c r="G1689" t="str">
        <f>VLOOKUP(F1689,'Liste Formations'!$A$5:$B$182,2,FALSE)</f>
        <v>Conduite Chariots Cat.3 et Cat.5</v>
      </c>
      <c r="H1689">
        <v>14</v>
      </c>
    </row>
    <row r="1690" spans="1:8" x14ac:dyDescent="0.25">
      <c r="A1690">
        <v>190</v>
      </c>
      <c r="B1690" t="s">
        <v>144</v>
      </c>
      <c r="C1690">
        <v>2023</v>
      </c>
      <c r="F1690" s="13">
        <v>1024</v>
      </c>
      <c r="G1690" t="str">
        <f>VLOOKUP(F1690,'Liste Formations'!$A$5:$B$182,2,FALSE)</f>
        <v>Déversement granulés</v>
      </c>
      <c r="H1690">
        <v>0.5</v>
      </c>
    </row>
    <row r="1691" spans="1:8" x14ac:dyDescent="0.25">
      <c r="A1691">
        <v>190</v>
      </c>
      <c r="B1691" t="s">
        <v>144</v>
      </c>
      <c r="C1691">
        <v>2023</v>
      </c>
      <c r="F1691" s="13">
        <v>1030</v>
      </c>
      <c r="G1691" t="str">
        <f>VLOOKUP(F1691,'Liste Formations'!$A$5:$B$182,2,FALSE)</f>
        <v>Utilisation PTI</v>
      </c>
      <c r="H1691">
        <v>0.5</v>
      </c>
    </row>
    <row r="1693" spans="1:8" x14ac:dyDescent="0.25">
      <c r="A1693">
        <v>10000046</v>
      </c>
      <c r="B1693" t="s">
        <v>322</v>
      </c>
      <c r="C1693">
        <v>2025</v>
      </c>
      <c r="D1693" s="18">
        <v>45999</v>
      </c>
      <c r="E1693" s="18">
        <v>46009</v>
      </c>
      <c r="F1693" s="13">
        <v>3041</v>
      </c>
      <c r="G1693" s="15" t="s">
        <v>36</v>
      </c>
      <c r="H1693" s="73">
        <v>70</v>
      </c>
    </row>
  </sheetData>
  <autoFilter ref="A6:I1691"/>
  <pageMargins left="0.7" right="0.7" top="0.75" bottom="0.75" header="0.3" footer="0.3"/>
  <pageSetup paperSize="9" scale="95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56"/>
  <sheetViews>
    <sheetView workbookViewId="0">
      <selection activeCell="C3" sqref="C3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8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8" ht="18.75" x14ac:dyDescent="0.3">
      <c r="A2" s="19"/>
      <c r="B2" s="24"/>
      <c r="D2" s="19"/>
      <c r="E2" s="19"/>
      <c r="F2" s="55"/>
    </row>
    <row r="3" spans="1:8" ht="18.75" x14ac:dyDescent="0.3">
      <c r="A3" s="20" t="s">
        <v>251</v>
      </c>
      <c r="C3" s="25">
        <v>258</v>
      </c>
      <c r="D3" s="19"/>
      <c r="E3" s="19"/>
      <c r="F3" s="55"/>
    </row>
    <row r="4" spans="1:8" ht="18.75" x14ac:dyDescent="0.3">
      <c r="A4" s="19"/>
      <c r="B4" s="24"/>
      <c r="D4" s="19"/>
      <c r="E4" s="19"/>
      <c r="F4" s="55"/>
    </row>
    <row r="5" spans="1:8" ht="18.75" x14ac:dyDescent="0.3">
      <c r="A5" s="20" t="s">
        <v>256</v>
      </c>
      <c r="C5" s="26" t="str">
        <f>VLOOKUP(C3,'Liste salariés'!A3:G104,2,FALSE)</f>
        <v>JOUMAH HASSAN</v>
      </c>
      <c r="D5" s="19"/>
      <c r="E5" s="19"/>
      <c r="F5" s="55"/>
    </row>
    <row r="6" spans="1:8" ht="39.75" customHeight="1" x14ac:dyDescent="0.3">
      <c r="A6" s="20" t="s">
        <v>252</v>
      </c>
      <c r="C6" s="23">
        <f>VLOOKUP(C3,'Liste salariés'!A3:J103,6,FALSE)</f>
        <v>22426</v>
      </c>
      <c r="D6" s="20" t="s">
        <v>253</v>
      </c>
      <c r="E6" s="49">
        <f ca="1">(B1-C6)/365</f>
        <v>64.838356164383555</v>
      </c>
      <c r="F6" s="48"/>
    </row>
    <row r="7" spans="1:8" ht="26.25" customHeight="1" x14ac:dyDescent="0.3">
      <c r="A7" s="20" t="s">
        <v>254</v>
      </c>
      <c r="C7" s="23">
        <f>VLOOKUP(C3,'Liste salariés'!A3:J105,3,FALSE)</f>
        <v>39364</v>
      </c>
      <c r="D7" s="20" t="s">
        <v>255</v>
      </c>
      <c r="E7" s="49">
        <f ca="1">(B1-C7)/365</f>
        <v>18.432876712328767</v>
      </c>
      <c r="F7" s="48"/>
    </row>
    <row r="8" spans="1:8" x14ac:dyDescent="0.25">
      <c r="B8"/>
    </row>
    <row r="9" spans="1:8" x14ac:dyDescent="0.25">
      <c r="B9"/>
    </row>
    <row r="10" spans="1:8" ht="18.75" x14ac:dyDescent="0.3">
      <c r="A10" s="20" t="s">
        <v>257</v>
      </c>
      <c r="B10"/>
    </row>
    <row r="11" spans="1:8" ht="15.75" thickBot="1" x14ac:dyDescent="0.3"/>
    <row r="12" spans="1:8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8" ht="20.100000000000001" customHeight="1" x14ac:dyDescent="0.25">
      <c r="A13" s="32">
        <v>2046</v>
      </c>
      <c r="B13" s="60" t="str">
        <f>VLOOKUP(A13,'Liste Formations'!$A$5:$B$154,2,FALSE)</f>
        <v>IFOCA - Formulation des caoutchoucs : INITIATION</v>
      </c>
      <c r="C13" s="33"/>
      <c r="D13" s="44"/>
      <c r="E13" s="45"/>
      <c r="F13" s="34"/>
      <c r="G13" s="34">
        <v>2009</v>
      </c>
      <c r="H13" s="35">
        <v>35</v>
      </c>
    </row>
    <row r="14" spans="1:8" ht="20.100000000000001" customHeight="1" x14ac:dyDescent="0.25">
      <c r="A14" s="36">
        <v>2003</v>
      </c>
      <c r="B14" s="59" t="str">
        <f>VLOOKUP(A14,'Liste Formations'!$A$5:$B$154,2,FALSE)</f>
        <v xml:space="preserve">CIRAD / Les secrets d'un polymère </v>
      </c>
      <c r="C14" s="37"/>
      <c r="D14" s="42"/>
      <c r="E14" s="46"/>
      <c r="F14" s="38"/>
      <c r="G14" s="38">
        <v>2011</v>
      </c>
      <c r="H14" s="39">
        <v>14</v>
      </c>
    </row>
    <row r="15" spans="1:8" ht="20.100000000000001" customHeight="1" x14ac:dyDescent="0.25">
      <c r="A15" s="36">
        <v>2005</v>
      </c>
      <c r="B15" s="59" t="str">
        <f>VLOOKUP(A15,'Liste Formations'!$A$5:$B$154,2,FALSE)</f>
        <v>Formation LEAN</v>
      </c>
      <c r="C15" s="37"/>
      <c r="D15" s="42"/>
      <c r="E15" s="46"/>
      <c r="F15" s="38"/>
      <c r="G15" s="38">
        <v>2011</v>
      </c>
      <c r="H15" s="39">
        <v>7</v>
      </c>
    </row>
    <row r="16" spans="1:8" ht="20.100000000000001" customHeight="1" x14ac:dyDescent="0.25">
      <c r="A16" s="36">
        <v>2014</v>
      </c>
      <c r="B16" s="59" t="str">
        <f>VLOOKUP(A16,'Liste Formations'!$A$5:$B$154,2,FALSE)</f>
        <v>Gestion Projet + ISO T.S.</v>
      </c>
      <c r="C16" s="37"/>
      <c r="D16" s="42"/>
      <c r="E16" s="46"/>
      <c r="F16" s="38"/>
      <c r="G16" s="38">
        <v>2013</v>
      </c>
      <c r="H16" s="39">
        <v>7</v>
      </c>
    </row>
    <row r="17" spans="1:8" ht="20.100000000000001" customHeight="1" x14ac:dyDescent="0.25">
      <c r="A17" s="36">
        <v>1011</v>
      </c>
      <c r="B17" s="59" t="str">
        <f>VLOOKUP(A17,'Liste Formations'!$A$5:$B$154,2,FALSE)</f>
        <v>UTI.COM - SSI / CHUBB</v>
      </c>
      <c r="C17" s="37"/>
      <c r="D17" s="42"/>
      <c r="E17" s="46"/>
      <c r="F17" s="38"/>
      <c r="G17" s="38">
        <v>2014</v>
      </c>
      <c r="H17" s="39">
        <v>4</v>
      </c>
    </row>
    <row r="18" spans="1:8" ht="20.100000000000001" customHeight="1" x14ac:dyDescent="0.25">
      <c r="A18" s="36">
        <v>2007</v>
      </c>
      <c r="B18" s="59" t="str">
        <f>VLOOKUP(A18,'Liste Formations'!$A$5:$B$154,2,FALSE)</f>
        <v>ERP DIVALTO</v>
      </c>
      <c r="C18" s="37"/>
      <c r="D18" s="42"/>
      <c r="E18" s="46"/>
      <c r="F18" s="38"/>
      <c r="G18" s="38">
        <v>2016</v>
      </c>
      <c r="H18" s="39">
        <v>7</v>
      </c>
    </row>
    <row r="19" spans="1:8" ht="20.100000000000001" customHeight="1" x14ac:dyDescent="0.25">
      <c r="A19" s="36">
        <v>2029</v>
      </c>
      <c r="B19" s="59" t="str">
        <f>VLOOKUP(A19,'Liste Formations'!$A$5:$B$154,2,FALSE)</f>
        <v>CORE
TOOLS</v>
      </c>
      <c r="C19" s="37"/>
      <c r="D19" s="42"/>
      <c r="E19" s="46"/>
      <c r="F19" s="38"/>
      <c r="G19" s="38">
        <v>2016</v>
      </c>
      <c r="H19" s="39">
        <v>7</v>
      </c>
    </row>
    <row r="20" spans="1:8" ht="20.100000000000001" customHeight="1" x14ac:dyDescent="0.25">
      <c r="A20" s="36">
        <v>2007</v>
      </c>
      <c r="B20" s="59" t="str">
        <f>VLOOKUP(A20,'Liste Formations'!$A$5:$B$154,2,FALSE)</f>
        <v>ERP DIVALTO</v>
      </c>
      <c r="C20" s="37"/>
      <c r="D20" s="42"/>
      <c r="E20" s="46"/>
      <c r="F20" s="38"/>
      <c r="G20" s="38">
        <v>2017</v>
      </c>
      <c r="H20" s="39">
        <v>21</v>
      </c>
    </row>
    <row r="21" spans="1:8" ht="20.100000000000001" customHeight="1" x14ac:dyDescent="0.25">
      <c r="A21" s="36">
        <v>1021</v>
      </c>
      <c r="B21" s="59" t="str">
        <f>VLOOKUP(A21,'Liste Formations'!$A$5:$B$154,2,FALSE)</f>
        <v>Gestion du stress</v>
      </c>
      <c r="C21" s="37"/>
      <c r="D21" s="42"/>
      <c r="E21" s="46"/>
      <c r="F21" s="38"/>
      <c r="G21" s="38">
        <v>2018</v>
      </c>
      <c r="H21" s="39">
        <v>4</v>
      </c>
    </row>
    <row r="22" spans="1:8" ht="20.100000000000001" customHeight="1" x14ac:dyDescent="0.25">
      <c r="A22" s="36">
        <v>2007</v>
      </c>
      <c r="B22" s="59" t="str">
        <f>VLOOKUP(A22,'Liste Formations'!$A$5:$B$154,2,FALSE)</f>
        <v>ERP DIVALTO</v>
      </c>
      <c r="C22" s="37"/>
      <c r="D22" s="42"/>
      <c r="E22" s="46"/>
      <c r="F22" s="38"/>
      <c r="G22" s="38">
        <v>2019</v>
      </c>
      <c r="H22" s="39">
        <v>14</v>
      </c>
    </row>
    <row r="23" spans="1:8" ht="20.100000000000001" customHeight="1" x14ac:dyDescent="0.25">
      <c r="A23" s="36">
        <v>2021</v>
      </c>
      <c r="B23" s="59" t="str">
        <f>VLOOKUP(A23,'Liste Formations'!$A$5:$B$154,2,FALSE)</f>
        <v>ENTERPRISE / ALPHA TECHNOLOGIE</v>
      </c>
      <c r="C23" s="37"/>
      <c r="D23" s="42"/>
      <c r="E23" s="46"/>
      <c r="F23" s="38"/>
      <c r="G23" s="38">
        <v>2019</v>
      </c>
      <c r="H23" s="39">
        <v>7</v>
      </c>
    </row>
    <row r="24" spans="1:8" ht="20.100000000000001" customHeight="1" x14ac:dyDescent="0.25">
      <c r="A24" s="36">
        <v>1009</v>
      </c>
      <c r="B24" s="59" t="str">
        <f>VLOOKUP(A24,'Liste Formations'!$A$5:$B$154,2,FALSE)</f>
        <v>Défibrillateur</v>
      </c>
      <c r="C24" s="37"/>
      <c r="D24" s="42"/>
      <c r="E24" s="46"/>
      <c r="F24" s="38"/>
      <c r="G24" s="38">
        <v>2019</v>
      </c>
      <c r="H24" s="39">
        <v>3</v>
      </c>
    </row>
    <row r="25" spans="1:8" ht="20.100000000000001" customHeight="1" x14ac:dyDescent="0.25">
      <c r="A25" s="36">
        <v>1010</v>
      </c>
      <c r="B25" s="59" t="str">
        <f>VLOOKUP(A25,'Liste Formations'!$A$5:$B$154,2,FALSE)</f>
        <v>Incendie</v>
      </c>
      <c r="C25" s="37"/>
      <c r="D25" s="42"/>
      <c r="E25" s="46"/>
      <c r="F25" s="38"/>
      <c r="G25" s="38">
        <v>2019</v>
      </c>
      <c r="H25" s="39">
        <v>4</v>
      </c>
    </row>
    <row r="26" spans="1:8" ht="20.100000000000001" customHeight="1" x14ac:dyDescent="0.25">
      <c r="A26" s="36">
        <v>2040</v>
      </c>
      <c r="B26" s="59" t="str">
        <f>VLOOKUP(A26,'Liste Formations'!$A$5:$B$154,2,FALSE)</f>
        <v xml:space="preserve">Anglais </v>
      </c>
      <c r="C26" s="37"/>
      <c r="D26" s="42"/>
      <c r="E26" s="46"/>
      <c r="F26" s="38"/>
      <c r="G26" s="38">
        <v>2023</v>
      </c>
      <c r="H26" s="39">
        <v>16.5</v>
      </c>
    </row>
    <row r="27" spans="1:8" ht="20.100000000000001" customHeight="1" x14ac:dyDescent="0.25">
      <c r="A27" s="36">
        <v>2040</v>
      </c>
      <c r="B27" s="59" t="str">
        <f>VLOOKUP(A27,'Liste Formations'!$A$5:$B$154,2,FALSE)</f>
        <v xml:space="preserve">Anglais </v>
      </c>
      <c r="C27" s="37"/>
      <c r="D27" s="42"/>
      <c r="E27" s="46"/>
      <c r="F27" s="38"/>
      <c r="G27" s="38">
        <v>2024</v>
      </c>
      <c r="H27" s="39">
        <v>13.5</v>
      </c>
    </row>
    <row r="28" spans="1:8" ht="20.100000000000001" customHeight="1" x14ac:dyDescent="0.25">
      <c r="A28" s="36"/>
      <c r="B28" s="59"/>
      <c r="C28" s="37"/>
      <c r="D28" s="42"/>
      <c r="E28" s="46"/>
      <c r="F28" s="38"/>
      <c r="G28" s="38"/>
      <c r="H28" s="39"/>
    </row>
    <row r="29" spans="1:8" ht="20.100000000000001" customHeight="1" x14ac:dyDescent="0.25">
      <c r="A29" s="36"/>
      <c r="B29" s="59"/>
      <c r="C29" s="37"/>
      <c r="D29" s="42"/>
      <c r="E29" s="46"/>
      <c r="F29" s="38"/>
      <c r="G29" s="38"/>
      <c r="H29" s="39"/>
    </row>
    <row r="30" spans="1:8" ht="20.100000000000001" customHeight="1" x14ac:dyDescent="0.25">
      <c r="A30" s="36"/>
      <c r="B30" s="59"/>
      <c r="C30" s="37"/>
      <c r="D30" s="42"/>
      <c r="E30" s="46"/>
      <c r="F30" s="38"/>
      <c r="G30" s="38"/>
      <c r="H30" s="39"/>
    </row>
    <row r="31" spans="1:8" ht="20.100000000000001" customHeight="1" x14ac:dyDescent="0.25">
      <c r="A31" s="36"/>
      <c r="B31" s="59"/>
      <c r="C31" s="37"/>
      <c r="D31" s="42"/>
      <c r="E31" s="46"/>
      <c r="F31" s="38"/>
      <c r="G31" s="38"/>
      <c r="H31" s="39"/>
    </row>
    <row r="32" spans="1:8" ht="20.100000000000001" customHeight="1" x14ac:dyDescent="0.25">
      <c r="A32" s="36"/>
      <c r="B32" s="59"/>
      <c r="C32" s="37"/>
      <c r="D32" s="42"/>
      <c r="E32" s="46"/>
      <c r="F32" s="38"/>
      <c r="G32" s="38"/>
      <c r="H32" s="39"/>
    </row>
    <row r="33" spans="1:8" ht="20.100000000000001" customHeight="1" x14ac:dyDescent="0.25">
      <c r="A33" s="36"/>
      <c r="B33" s="37"/>
      <c r="C33" s="37"/>
      <c r="D33" s="42"/>
      <c r="E33" s="46"/>
      <c r="F33" s="38"/>
      <c r="G33" s="38"/>
      <c r="H33" s="39"/>
    </row>
    <row r="34" spans="1:8" ht="20.100000000000001" customHeight="1" x14ac:dyDescent="0.25">
      <c r="A34" s="36"/>
      <c r="B34" s="37"/>
      <c r="C34" s="37"/>
      <c r="D34" s="42"/>
      <c r="E34" s="46"/>
      <c r="F34" s="38"/>
      <c r="G34" s="38"/>
      <c r="H34" s="39"/>
    </row>
    <row r="35" spans="1:8" ht="20.100000000000001" customHeight="1" x14ac:dyDescent="0.25">
      <c r="A35" s="36"/>
      <c r="B35" s="37"/>
      <c r="C35" s="37"/>
      <c r="D35" s="42"/>
      <c r="E35" s="46"/>
      <c r="F35" s="38"/>
      <c r="G35" s="38"/>
      <c r="H35" s="39"/>
    </row>
    <row r="36" spans="1:8" ht="20.100000000000001" customHeight="1" x14ac:dyDescent="0.25">
      <c r="A36" s="36"/>
      <c r="B36" s="37"/>
      <c r="C36" s="37"/>
      <c r="D36" s="42"/>
      <c r="E36" s="46"/>
      <c r="F36" s="38"/>
      <c r="G36" s="38"/>
      <c r="H36" s="39"/>
    </row>
    <row r="37" spans="1:8" x14ac:dyDescent="0.25">
      <c r="A37" s="40"/>
      <c r="B37" s="41"/>
      <c r="C37" s="37"/>
      <c r="D37" s="42"/>
      <c r="E37" s="46"/>
      <c r="F37" s="38"/>
      <c r="G37" s="38"/>
      <c r="H37" s="43"/>
    </row>
    <row r="38" spans="1:8" x14ac:dyDescent="0.25">
      <c r="A38" s="40"/>
      <c r="B38" s="41"/>
      <c r="C38" s="37"/>
      <c r="D38" s="42"/>
      <c r="E38" s="46"/>
      <c r="F38" s="56"/>
      <c r="G38" s="56"/>
      <c r="H38" s="43"/>
    </row>
    <row r="39" spans="1:8" x14ac:dyDescent="0.25">
      <c r="A39" s="40"/>
      <c r="B39" s="41"/>
      <c r="C39" s="37"/>
      <c r="D39" s="42"/>
      <c r="E39" s="46"/>
      <c r="F39" s="38"/>
      <c r="G39" s="38"/>
      <c r="H39" s="43"/>
    </row>
    <row r="40" spans="1:8" x14ac:dyDescent="0.25">
      <c r="A40" s="40"/>
      <c r="B40" s="41"/>
      <c r="C40" s="37"/>
      <c r="D40" s="42"/>
      <c r="E40" s="46"/>
      <c r="F40" s="38"/>
      <c r="G40" s="38"/>
      <c r="H40" s="43"/>
    </row>
    <row r="41" spans="1:8" x14ac:dyDescent="0.25">
      <c r="A41" s="40"/>
      <c r="B41" s="41"/>
      <c r="C41" s="37"/>
      <c r="D41" s="42"/>
      <c r="E41" s="46"/>
      <c r="F41" s="38"/>
      <c r="G41" s="38"/>
      <c r="H41" s="43"/>
    </row>
    <row r="42" spans="1:8" x14ac:dyDescent="0.25">
      <c r="A42" s="40"/>
      <c r="B42" s="41"/>
      <c r="C42" s="37"/>
      <c r="D42" s="42"/>
      <c r="E42" s="46"/>
      <c r="F42" s="38"/>
      <c r="G42" s="38"/>
      <c r="H42" s="43"/>
    </row>
    <row r="43" spans="1:8" x14ac:dyDescent="0.25">
      <c r="A43" s="40"/>
      <c r="B43" s="41"/>
      <c r="C43" s="37"/>
      <c r="D43" s="42"/>
      <c r="E43" s="46"/>
      <c r="F43" s="38"/>
      <c r="G43" s="38"/>
      <c r="H43" s="43"/>
    </row>
    <row r="44" spans="1:8" x14ac:dyDescent="0.25">
      <c r="A44" s="40"/>
      <c r="B44" s="41"/>
      <c r="C44" s="37"/>
      <c r="D44" s="42"/>
      <c r="E44" s="46"/>
      <c r="F44" s="38"/>
      <c r="G44" s="38"/>
      <c r="H44" s="43"/>
    </row>
    <row r="45" spans="1:8" x14ac:dyDescent="0.25">
      <c r="A45" s="40"/>
      <c r="B45" s="41"/>
      <c r="C45" s="37"/>
      <c r="D45" s="42"/>
      <c r="E45" s="46"/>
      <c r="F45" s="38"/>
      <c r="G45" s="38"/>
      <c r="H45" s="43"/>
    </row>
    <row r="46" spans="1:8" x14ac:dyDescent="0.25">
      <c r="A46" s="40"/>
      <c r="B46" s="41"/>
      <c r="C46" s="37"/>
      <c r="D46" s="42"/>
      <c r="E46" s="46"/>
      <c r="F46" s="38"/>
      <c r="G46" s="38"/>
      <c r="H46" s="43"/>
    </row>
    <row r="47" spans="1:8" x14ac:dyDescent="0.25">
      <c r="A47" s="40"/>
      <c r="B47" s="41"/>
      <c r="C47" s="37"/>
      <c r="D47" s="42"/>
      <c r="E47" s="46"/>
      <c r="F47" s="38"/>
      <c r="G47" s="38"/>
      <c r="H47" s="43"/>
    </row>
    <row r="48" spans="1:8" x14ac:dyDescent="0.25">
      <c r="A48" s="40"/>
      <c r="B48" s="41"/>
      <c r="C48" s="37"/>
      <c r="D48" s="42"/>
      <c r="E48" s="46"/>
      <c r="F48" s="38"/>
      <c r="G48" s="38"/>
      <c r="H48" s="43"/>
    </row>
    <row r="49" spans="1:8" x14ac:dyDescent="0.25">
      <c r="A49" s="40"/>
      <c r="B49" s="41"/>
      <c r="C49" s="37"/>
      <c r="D49" s="42"/>
      <c r="E49" s="46"/>
      <c r="F49" s="38"/>
      <c r="G49" s="38"/>
      <c r="H49" s="43"/>
    </row>
    <row r="50" spans="1:8" x14ac:dyDescent="0.25">
      <c r="A50" s="40"/>
      <c r="B50" s="41"/>
      <c r="C50" s="37"/>
      <c r="D50" s="42"/>
      <c r="E50" s="46"/>
      <c r="F50" s="38"/>
      <c r="G50" s="38"/>
      <c r="H50" s="43"/>
    </row>
    <row r="51" spans="1:8" x14ac:dyDescent="0.25">
      <c r="A51" s="40"/>
      <c r="B51" s="41"/>
      <c r="C51" s="37"/>
      <c r="D51" s="42"/>
      <c r="E51" s="46"/>
      <c r="F51" s="38"/>
      <c r="G51" s="38"/>
      <c r="H51" s="43"/>
    </row>
    <row r="52" spans="1:8" x14ac:dyDescent="0.25">
      <c r="A52" s="40"/>
      <c r="B52" s="41"/>
      <c r="C52" s="37"/>
      <c r="D52" s="42"/>
      <c r="E52" s="46"/>
      <c r="F52" s="38"/>
      <c r="G52" s="38"/>
      <c r="H52" s="43"/>
    </row>
    <row r="53" spans="1:8" x14ac:dyDescent="0.25">
      <c r="A53" s="40"/>
      <c r="B53" s="41"/>
      <c r="C53" s="37"/>
      <c r="D53" s="42"/>
      <c r="E53" s="46"/>
      <c r="F53" s="38"/>
      <c r="G53" s="38"/>
      <c r="H53" s="43"/>
    </row>
    <row r="54" spans="1:8" x14ac:dyDescent="0.25">
      <c r="A54" s="40"/>
      <c r="B54" s="41"/>
      <c r="C54" s="37"/>
      <c r="D54" s="42"/>
      <c r="E54" s="46"/>
      <c r="F54" s="38"/>
      <c r="G54" s="38"/>
      <c r="H54" s="43"/>
    </row>
    <row r="55" spans="1:8" x14ac:dyDescent="0.25">
      <c r="A55" s="40"/>
      <c r="B55" s="41"/>
      <c r="C55" s="37"/>
      <c r="D55" s="42"/>
      <c r="E55" s="46"/>
      <c r="F55" s="38"/>
      <c r="G55" s="38"/>
      <c r="H55" s="43"/>
    </row>
    <row r="56" spans="1:8" ht="15.75" thickBot="1" x14ac:dyDescent="0.3">
      <c r="A56" s="30"/>
      <c r="B56" s="27"/>
      <c r="C56" s="28"/>
      <c r="D56" s="31"/>
      <c r="E56" s="47"/>
      <c r="F56" s="57"/>
      <c r="G56" s="57"/>
      <c r="H56" s="29"/>
    </row>
  </sheetData>
  <pageMargins left="0.39370078740157483" right="0.39370078740157483" top="0.39370078740157483" bottom="0.39370078740157483" header="0.31496062992125984" footer="0.31496062992125984"/>
  <pageSetup paperSize="9" scale="7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3"/>
  <sheetViews>
    <sheetView workbookViewId="0">
      <selection activeCell="B1" sqref="B1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17" ht="18.75" x14ac:dyDescent="0.3">
      <c r="A1" s="20" t="s">
        <v>250</v>
      </c>
      <c r="B1" s="58">
        <v>44985</v>
      </c>
      <c r="D1" s="19"/>
      <c r="E1" s="19"/>
      <c r="F1" s="55"/>
    </row>
    <row r="2" spans="1:17" ht="18.75" x14ac:dyDescent="0.3">
      <c r="A2" s="19"/>
      <c r="B2" s="24"/>
      <c r="D2" s="19"/>
      <c r="E2" s="19"/>
      <c r="F2" s="55"/>
    </row>
    <row r="3" spans="1:17" ht="18.75" x14ac:dyDescent="0.3">
      <c r="A3" s="20" t="s">
        <v>251</v>
      </c>
      <c r="C3" s="25">
        <v>102</v>
      </c>
      <c r="D3" s="19"/>
      <c r="E3" s="19"/>
      <c r="F3" s="55"/>
    </row>
    <row r="4" spans="1:17" ht="18.75" x14ac:dyDescent="0.3">
      <c r="A4" s="19"/>
      <c r="B4" s="24"/>
      <c r="D4" s="19"/>
      <c r="E4" s="19"/>
      <c r="F4" s="55"/>
    </row>
    <row r="5" spans="1:17" ht="18.75" x14ac:dyDescent="0.3">
      <c r="A5" s="20" t="s">
        <v>256</v>
      </c>
      <c r="C5" s="26" t="s">
        <v>299</v>
      </c>
      <c r="D5" s="19"/>
      <c r="E5" s="19"/>
      <c r="F5" s="55"/>
    </row>
    <row r="6" spans="1:17" ht="39.75" customHeight="1" x14ac:dyDescent="0.3">
      <c r="A6" s="20" t="s">
        <v>252</v>
      </c>
      <c r="C6" s="23">
        <v>23238</v>
      </c>
      <c r="D6" s="20" t="s">
        <v>253</v>
      </c>
      <c r="E6" s="49">
        <f>(B1-C6)/365</f>
        <v>59.580821917808223</v>
      </c>
      <c r="F6" s="48"/>
    </row>
    <row r="7" spans="1:17" ht="26.25" customHeight="1" x14ac:dyDescent="0.3">
      <c r="A7" s="20" t="s">
        <v>254</v>
      </c>
      <c r="C7" s="23">
        <v>36619</v>
      </c>
      <c r="D7" s="20" t="s">
        <v>255</v>
      </c>
      <c r="E7" s="49">
        <f>(B1-C7)/365</f>
        <v>22.920547945205481</v>
      </c>
      <c r="F7" s="48"/>
    </row>
    <row r="8" spans="1:17" x14ac:dyDescent="0.25">
      <c r="B8"/>
    </row>
    <row r="9" spans="1:17" x14ac:dyDescent="0.25">
      <c r="B9"/>
    </row>
    <row r="10" spans="1:17" ht="18.75" x14ac:dyDescent="0.3">
      <c r="A10" s="20" t="s">
        <v>257</v>
      </c>
      <c r="B10"/>
    </row>
    <row r="11" spans="1:17" ht="15.75" thickBot="1" x14ac:dyDescent="0.3"/>
    <row r="12" spans="1:17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17" ht="20.100000000000001" customHeight="1" x14ac:dyDescent="0.25">
      <c r="A13" s="67">
        <v>3043</v>
      </c>
      <c r="B13" s="60" t="s">
        <v>44</v>
      </c>
      <c r="C13" s="68"/>
      <c r="D13" s="69"/>
      <c r="E13" s="70"/>
      <c r="F13" s="71"/>
      <c r="G13" s="71">
        <v>2003</v>
      </c>
      <c r="H13" s="72">
        <v>151.66999999999999</v>
      </c>
      <c r="O13" s="18"/>
      <c r="P13" s="18"/>
      <c r="Q13" s="13"/>
    </row>
    <row r="14" spans="1:17" ht="20.100000000000001" customHeight="1" x14ac:dyDescent="0.25">
      <c r="A14" s="67">
        <v>3012</v>
      </c>
      <c r="B14" s="60" t="s">
        <v>38</v>
      </c>
      <c r="C14" s="68"/>
      <c r="D14" s="69"/>
      <c r="E14" s="70"/>
      <c r="F14" s="71"/>
      <c r="G14" s="71">
        <v>2004</v>
      </c>
      <c r="H14" s="72">
        <v>151.66999999999999</v>
      </c>
      <c r="O14" s="18"/>
      <c r="P14" s="18"/>
      <c r="Q14" s="13"/>
    </row>
    <row r="15" spans="1:17" ht="20.100000000000001" customHeight="1" x14ac:dyDescent="0.25">
      <c r="A15" s="67">
        <v>3012</v>
      </c>
      <c r="B15" s="60" t="s">
        <v>38</v>
      </c>
      <c r="C15" s="68"/>
      <c r="D15" s="69"/>
      <c r="E15" s="70"/>
      <c r="F15" s="71"/>
      <c r="G15" s="71">
        <v>2005</v>
      </c>
      <c r="H15" s="72">
        <v>151.66999999999999</v>
      </c>
      <c r="O15" s="18"/>
      <c r="P15" s="18"/>
      <c r="Q15" s="13"/>
    </row>
    <row r="16" spans="1:17" ht="20.100000000000001" customHeight="1" x14ac:dyDescent="0.25">
      <c r="A16" s="67">
        <v>3012</v>
      </c>
      <c r="B16" s="60" t="s">
        <v>38</v>
      </c>
      <c r="C16" s="68"/>
      <c r="D16" s="69"/>
      <c r="E16" s="70"/>
      <c r="F16" s="71"/>
      <c r="G16" s="71">
        <v>2007</v>
      </c>
      <c r="H16" s="72">
        <v>151.66999999999999</v>
      </c>
      <c r="O16" s="18"/>
      <c r="P16" s="18"/>
      <c r="Q16" s="13"/>
    </row>
    <row r="17" spans="1:17" ht="20.100000000000001" customHeight="1" x14ac:dyDescent="0.25">
      <c r="A17" s="67">
        <v>3012</v>
      </c>
      <c r="B17" s="60" t="s">
        <v>38</v>
      </c>
      <c r="C17" s="68"/>
      <c r="D17" s="69"/>
      <c r="E17" s="70"/>
      <c r="F17" s="71"/>
      <c r="G17" s="71">
        <v>2009</v>
      </c>
      <c r="H17" s="72">
        <v>151.66999999999999</v>
      </c>
      <c r="O17" s="18"/>
      <c r="P17" s="18"/>
      <c r="Q17" s="13"/>
    </row>
    <row r="18" spans="1:17" ht="20.100000000000001" customHeight="1" x14ac:dyDescent="0.25">
      <c r="A18" s="67">
        <v>3020</v>
      </c>
      <c r="B18" s="60" t="s">
        <v>152</v>
      </c>
      <c r="C18" s="68"/>
      <c r="D18" s="69"/>
      <c r="E18" s="70"/>
      <c r="F18" s="71"/>
      <c r="G18" s="71">
        <v>2009</v>
      </c>
      <c r="H18" s="72">
        <v>151.66999999999999</v>
      </c>
      <c r="O18" s="18"/>
      <c r="P18" s="18"/>
      <c r="Q18" s="13"/>
    </row>
    <row r="19" spans="1:17" ht="20.100000000000001" customHeight="1" x14ac:dyDescent="0.25">
      <c r="A19" s="67">
        <v>3043</v>
      </c>
      <c r="B19" s="60" t="s">
        <v>44</v>
      </c>
      <c r="C19" s="68"/>
      <c r="D19" s="69"/>
      <c r="E19" s="70"/>
      <c r="F19" s="71"/>
      <c r="G19" s="71">
        <v>2009</v>
      </c>
      <c r="H19" s="72">
        <v>151.66999999999999</v>
      </c>
      <c r="O19" s="18"/>
      <c r="P19" s="18"/>
      <c r="Q19" s="13"/>
    </row>
    <row r="20" spans="1:17" ht="20.100000000000001" customHeight="1" x14ac:dyDescent="0.25">
      <c r="A20" s="67">
        <v>1004</v>
      </c>
      <c r="B20" s="60" t="s">
        <v>206</v>
      </c>
      <c r="C20" s="68"/>
      <c r="D20" s="69"/>
      <c r="E20" s="70"/>
      <c r="F20" s="71"/>
      <c r="G20" s="71">
        <v>2011</v>
      </c>
      <c r="H20" s="72">
        <v>7</v>
      </c>
      <c r="O20" s="18"/>
      <c r="P20" s="18"/>
      <c r="Q20" s="13"/>
    </row>
    <row r="21" spans="1:17" ht="20.100000000000001" customHeight="1" x14ac:dyDescent="0.25">
      <c r="A21" s="67">
        <v>2047</v>
      </c>
      <c r="B21" s="60" t="s">
        <v>292</v>
      </c>
      <c r="C21" s="68"/>
      <c r="D21" s="69"/>
      <c r="E21" s="70"/>
      <c r="F21" s="71"/>
      <c r="G21" s="71">
        <v>2011</v>
      </c>
      <c r="H21" s="72">
        <v>42</v>
      </c>
      <c r="O21" s="18"/>
      <c r="P21" s="18"/>
      <c r="Q21" s="13"/>
    </row>
    <row r="22" spans="1:17" ht="20.100000000000001" customHeight="1" x14ac:dyDescent="0.25">
      <c r="A22" s="67">
        <v>3012</v>
      </c>
      <c r="B22" s="60" t="s">
        <v>38</v>
      </c>
      <c r="C22" s="68"/>
      <c r="D22" s="69"/>
      <c r="E22" s="70"/>
      <c r="F22" s="71"/>
      <c r="G22" s="71">
        <v>2011</v>
      </c>
      <c r="H22" s="72">
        <v>151.66999999999999</v>
      </c>
      <c r="O22" s="18"/>
      <c r="P22" s="18"/>
      <c r="Q22" s="13"/>
    </row>
    <row r="23" spans="1:17" ht="20.100000000000001" customHeight="1" x14ac:dyDescent="0.25">
      <c r="A23" s="67">
        <v>3020</v>
      </c>
      <c r="B23" s="60" t="s">
        <v>152</v>
      </c>
      <c r="C23" s="68"/>
      <c r="D23" s="69"/>
      <c r="E23" s="70"/>
      <c r="F23" s="71"/>
      <c r="G23" s="71">
        <v>2011</v>
      </c>
      <c r="H23" s="72">
        <v>151.66999999999999</v>
      </c>
      <c r="O23" s="18"/>
      <c r="P23" s="18"/>
      <c r="Q23" s="13"/>
    </row>
    <row r="24" spans="1:17" ht="20.100000000000001" customHeight="1" x14ac:dyDescent="0.25">
      <c r="A24" s="67">
        <v>3043</v>
      </c>
      <c r="B24" s="60" t="s">
        <v>44</v>
      </c>
      <c r="C24" s="68"/>
      <c r="D24" s="69"/>
      <c r="E24" s="70"/>
      <c r="F24" s="71"/>
      <c r="G24" s="71">
        <v>2011</v>
      </c>
      <c r="H24" s="72">
        <v>151.66999999999999</v>
      </c>
      <c r="O24" s="18"/>
      <c r="P24" s="18"/>
      <c r="Q24" s="13"/>
    </row>
    <row r="25" spans="1:17" ht="20.100000000000001" customHeight="1" x14ac:dyDescent="0.25">
      <c r="A25" s="67">
        <v>1026</v>
      </c>
      <c r="B25" s="60" t="s">
        <v>179</v>
      </c>
      <c r="C25" s="68"/>
      <c r="D25" s="69"/>
      <c r="E25" s="70"/>
      <c r="F25" s="71"/>
      <c r="G25" s="71">
        <v>2012</v>
      </c>
      <c r="H25" s="72">
        <v>3.5</v>
      </c>
      <c r="O25" s="18"/>
      <c r="P25" s="18"/>
      <c r="Q25" s="13"/>
    </row>
    <row r="26" spans="1:17" ht="20.100000000000001" customHeight="1" x14ac:dyDescent="0.25">
      <c r="A26" s="67">
        <v>1025</v>
      </c>
      <c r="B26" s="60" t="s">
        <v>154</v>
      </c>
      <c r="C26" s="68"/>
      <c r="D26" s="69"/>
      <c r="E26" s="70"/>
      <c r="F26" s="71"/>
      <c r="G26" s="71">
        <v>2013</v>
      </c>
      <c r="H26" s="72">
        <v>0.5</v>
      </c>
      <c r="O26" s="18"/>
      <c r="P26" s="18"/>
      <c r="Q26" s="13"/>
    </row>
    <row r="27" spans="1:17" ht="20.100000000000001" customHeight="1" x14ac:dyDescent="0.25">
      <c r="A27" s="67">
        <v>3012</v>
      </c>
      <c r="B27" s="60" t="s">
        <v>38</v>
      </c>
      <c r="C27" s="68"/>
      <c r="D27" s="69"/>
      <c r="E27" s="70"/>
      <c r="F27" s="71"/>
      <c r="G27" s="71">
        <v>2013</v>
      </c>
      <c r="H27" s="72">
        <v>151.66999999999999</v>
      </c>
      <c r="O27" s="18"/>
      <c r="P27" s="18"/>
      <c r="Q27" s="13"/>
    </row>
    <row r="28" spans="1:17" ht="20.100000000000001" customHeight="1" x14ac:dyDescent="0.25">
      <c r="A28" s="67">
        <v>3020</v>
      </c>
      <c r="B28" s="60" t="s">
        <v>152</v>
      </c>
      <c r="C28" s="68"/>
      <c r="D28" s="69"/>
      <c r="E28" s="70"/>
      <c r="F28" s="71"/>
      <c r="G28" s="71">
        <v>2013</v>
      </c>
      <c r="H28" s="72">
        <v>151.66999999999999</v>
      </c>
      <c r="O28" s="18"/>
      <c r="P28" s="18"/>
      <c r="Q28" s="13"/>
    </row>
    <row r="29" spans="1:17" ht="20.100000000000001" customHeight="1" x14ac:dyDescent="0.25">
      <c r="A29" s="67">
        <v>3043</v>
      </c>
      <c r="B29" s="60" t="s">
        <v>44</v>
      </c>
      <c r="C29" s="68"/>
      <c r="D29" s="69"/>
      <c r="E29" s="70"/>
      <c r="F29" s="71"/>
      <c r="G29" s="71">
        <v>2013</v>
      </c>
      <c r="H29" s="72">
        <v>151.66999999999999</v>
      </c>
      <c r="O29" s="18"/>
      <c r="P29" s="18"/>
      <c r="Q29" s="13"/>
    </row>
    <row r="30" spans="1:17" ht="20.100000000000001" customHeight="1" x14ac:dyDescent="0.25">
      <c r="A30" s="67">
        <v>3012</v>
      </c>
      <c r="B30" s="60" t="s">
        <v>38</v>
      </c>
      <c r="C30" s="68"/>
      <c r="D30" s="69"/>
      <c r="E30" s="70"/>
      <c r="F30" s="71"/>
      <c r="G30" s="71">
        <v>2015</v>
      </c>
      <c r="H30" s="72">
        <v>151.66999999999999</v>
      </c>
      <c r="O30" s="18"/>
      <c r="P30" s="18"/>
      <c r="Q30" s="13"/>
    </row>
    <row r="31" spans="1:17" ht="20.100000000000001" customHeight="1" x14ac:dyDescent="0.25">
      <c r="A31" s="67">
        <v>3020</v>
      </c>
      <c r="B31" s="60" t="s">
        <v>152</v>
      </c>
      <c r="C31" s="68"/>
      <c r="D31" s="69"/>
      <c r="E31" s="70"/>
      <c r="F31" s="71"/>
      <c r="G31" s="71">
        <v>2015</v>
      </c>
      <c r="H31" s="72">
        <v>151.66999999999999</v>
      </c>
      <c r="O31" s="18"/>
      <c r="P31" s="18"/>
      <c r="Q31" s="13"/>
    </row>
    <row r="32" spans="1:17" ht="20.100000000000001" customHeight="1" x14ac:dyDescent="0.25">
      <c r="A32" s="67">
        <v>3043</v>
      </c>
      <c r="B32" s="60" t="s">
        <v>44</v>
      </c>
      <c r="C32" s="68"/>
      <c r="D32" s="69"/>
      <c r="E32" s="70"/>
      <c r="F32" s="71"/>
      <c r="G32" s="71">
        <v>2015</v>
      </c>
      <c r="H32" s="72">
        <v>151.66999999999999</v>
      </c>
      <c r="O32" s="18"/>
      <c r="P32" s="18"/>
      <c r="Q32" s="13"/>
    </row>
    <row r="33" spans="1:17" ht="20.100000000000001" customHeight="1" x14ac:dyDescent="0.25">
      <c r="A33" s="67">
        <v>3012</v>
      </c>
      <c r="B33" s="60" t="s">
        <v>38</v>
      </c>
      <c r="C33" s="68"/>
      <c r="D33" s="69"/>
      <c r="E33" s="70"/>
      <c r="F33" s="71"/>
      <c r="G33" s="71">
        <v>2017</v>
      </c>
      <c r="H33" s="72">
        <v>151.66999999999999</v>
      </c>
      <c r="O33" s="18"/>
      <c r="P33" s="18"/>
      <c r="Q33" s="13"/>
    </row>
    <row r="34" spans="1:17" ht="20.100000000000001" customHeight="1" x14ac:dyDescent="0.25">
      <c r="A34" s="67">
        <v>3020</v>
      </c>
      <c r="B34" s="60" t="s">
        <v>152</v>
      </c>
      <c r="C34" s="68"/>
      <c r="D34" s="69"/>
      <c r="E34" s="70"/>
      <c r="F34" s="71"/>
      <c r="G34" s="71">
        <v>2017</v>
      </c>
      <c r="H34" s="72">
        <v>151.66999999999999</v>
      </c>
      <c r="O34" s="18"/>
      <c r="P34" s="18"/>
      <c r="Q34" s="13"/>
    </row>
    <row r="35" spans="1:17" ht="20.100000000000001" customHeight="1" x14ac:dyDescent="0.25">
      <c r="A35" s="67">
        <v>1004</v>
      </c>
      <c r="B35" s="60" t="s">
        <v>206</v>
      </c>
      <c r="C35" s="68"/>
      <c r="D35" s="69"/>
      <c r="E35" s="70"/>
      <c r="F35" s="71"/>
      <c r="G35" s="71">
        <v>2019</v>
      </c>
      <c r="H35" s="72">
        <v>7</v>
      </c>
      <c r="O35" s="18"/>
      <c r="P35" s="18"/>
      <c r="Q35" s="13"/>
    </row>
    <row r="36" spans="1:17" ht="20.100000000000001" customHeight="1" x14ac:dyDescent="0.25">
      <c r="A36" s="67">
        <v>3012</v>
      </c>
      <c r="B36" s="60" t="s">
        <v>38</v>
      </c>
      <c r="C36" s="68"/>
      <c r="D36" s="69"/>
      <c r="E36" s="70"/>
      <c r="F36" s="71"/>
      <c r="G36" s="71">
        <v>2019</v>
      </c>
      <c r="H36" s="72">
        <v>151.66999999999999</v>
      </c>
      <c r="O36" s="18"/>
      <c r="P36" s="18"/>
      <c r="Q36" s="13"/>
    </row>
    <row r="37" spans="1:17" ht="20.100000000000001" customHeight="1" x14ac:dyDescent="0.25">
      <c r="A37" s="67"/>
      <c r="B37" s="60"/>
      <c r="C37" s="68"/>
      <c r="D37" s="69"/>
      <c r="E37" s="70"/>
      <c r="F37" s="71"/>
      <c r="G37" s="71"/>
      <c r="H37" s="72"/>
      <c r="O37" s="18"/>
      <c r="P37" s="18"/>
      <c r="Q37" s="13"/>
    </row>
    <row r="38" spans="1:17" ht="20.100000000000001" customHeight="1" x14ac:dyDescent="0.25">
      <c r="A38" s="67"/>
      <c r="B38" s="60"/>
      <c r="C38" s="68"/>
      <c r="D38" s="69"/>
      <c r="E38" s="70"/>
      <c r="F38" s="71"/>
      <c r="G38" s="71"/>
      <c r="H38" s="72"/>
      <c r="O38" s="18"/>
      <c r="P38" s="18"/>
      <c r="Q38" s="13"/>
    </row>
    <row r="39" spans="1:17" ht="20.100000000000001" customHeight="1" x14ac:dyDescent="0.25">
      <c r="A39" s="67"/>
      <c r="B39" s="60"/>
      <c r="C39" s="68"/>
      <c r="D39" s="69"/>
      <c r="E39" s="70"/>
      <c r="F39" s="71"/>
      <c r="G39" s="71"/>
      <c r="H39" s="72"/>
      <c r="O39" s="18"/>
      <c r="P39" s="18"/>
      <c r="Q39" s="13"/>
    </row>
    <row r="40" spans="1:17" ht="20.100000000000001" customHeight="1" x14ac:dyDescent="0.25">
      <c r="A40" s="67"/>
      <c r="B40" s="60"/>
      <c r="C40" s="68"/>
      <c r="D40" s="69"/>
      <c r="E40" s="70"/>
      <c r="F40" s="71"/>
      <c r="G40" s="71"/>
      <c r="H40" s="72"/>
      <c r="O40" s="18"/>
      <c r="P40" s="18"/>
      <c r="Q40" s="13"/>
    </row>
    <row r="41" spans="1:17" ht="20.100000000000001" customHeight="1" x14ac:dyDescent="0.25">
      <c r="A41" s="67"/>
      <c r="B41" s="60"/>
      <c r="C41" s="68"/>
      <c r="D41" s="69"/>
      <c r="E41" s="70"/>
      <c r="F41" s="71"/>
      <c r="G41" s="71"/>
      <c r="H41" s="72"/>
      <c r="O41" s="18"/>
      <c r="P41" s="18"/>
      <c r="Q41" s="13"/>
    </row>
    <row r="42" spans="1:17" ht="20.100000000000001" customHeight="1" x14ac:dyDescent="0.25">
      <c r="A42" s="67"/>
      <c r="B42" s="60"/>
      <c r="C42" s="68"/>
      <c r="D42" s="69"/>
      <c r="E42" s="70"/>
      <c r="F42" s="71"/>
      <c r="G42" s="71"/>
      <c r="H42" s="72"/>
      <c r="O42" s="18"/>
      <c r="P42" s="18"/>
      <c r="Q42" s="13"/>
    </row>
    <row r="43" spans="1:17" ht="20.100000000000001" customHeight="1" x14ac:dyDescent="0.25">
      <c r="A43" s="67"/>
      <c r="B43" s="60"/>
      <c r="C43" s="68"/>
      <c r="D43" s="69"/>
      <c r="E43" s="70"/>
      <c r="F43" s="71"/>
      <c r="G43" s="71"/>
      <c r="H43" s="72"/>
      <c r="O43" s="18"/>
      <c r="P43" s="18"/>
      <c r="Q43" s="13"/>
    </row>
    <row r="44" spans="1:17" ht="20.100000000000001" customHeight="1" x14ac:dyDescent="0.25">
      <c r="A44" s="67"/>
      <c r="B44" s="60"/>
      <c r="C44" s="68"/>
      <c r="D44" s="69"/>
      <c r="E44" s="70"/>
      <c r="F44" s="71"/>
      <c r="G44" s="71"/>
      <c r="H44" s="72"/>
      <c r="O44" s="18"/>
      <c r="P44" s="18"/>
      <c r="Q44" s="13"/>
    </row>
    <row r="45" spans="1:17" ht="20.100000000000001" customHeight="1" x14ac:dyDescent="0.25">
      <c r="A45" s="67"/>
      <c r="B45" s="60"/>
      <c r="C45" s="68"/>
      <c r="D45" s="69"/>
      <c r="E45" s="70"/>
      <c r="F45" s="71"/>
      <c r="G45" s="71"/>
      <c r="H45" s="72"/>
      <c r="O45" s="18"/>
      <c r="P45" s="18"/>
      <c r="Q45" s="13"/>
    </row>
    <row r="46" spans="1:17" ht="20.100000000000001" customHeight="1" x14ac:dyDescent="0.25">
      <c r="A46" s="67"/>
      <c r="B46" s="60"/>
      <c r="C46" s="68"/>
      <c r="D46" s="69"/>
      <c r="E46" s="70"/>
      <c r="F46" s="71"/>
      <c r="G46" s="71"/>
      <c r="H46" s="72"/>
      <c r="O46" s="18"/>
      <c r="P46" s="18"/>
      <c r="Q46" s="13"/>
    </row>
    <row r="47" spans="1:17" ht="20.100000000000001" customHeight="1" x14ac:dyDescent="0.25">
      <c r="A47" s="67"/>
      <c r="B47" s="60"/>
      <c r="C47" s="68"/>
      <c r="D47" s="69"/>
      <c r="E47" s="70"/>
      <c r="F47" s="71"/>
      <c r="G47" s="71"/>
      <c r="H47" s="72"/>
      <c r="O47" s="18"/>
      <c r="P47" s="18"/>
      <c r="Q47" s="13"/>
    </row>
    <row r="48" spans="1:17" ht="20.100000000000001" customHeight="1" x14ac:dyDescent="0.25">
      <c r="A48" s="67"/>
      <c r="B48" s="60"/>
      <c r="C48" s="68"/>
      <c r="D48" s="69"/>
      <c r="E48" s="70"/>
      <c r="F48" s="71"/>
      <c r="G48" s="71"/>
      <c r="H48" s="72"/>
      <c r="O48" s="18"/>
      <c r="P48" s="18"/>
      <c r="Q48" s="13"/>
    </row>
    <row r="49" spans="1:17" ht="20.100000000000001" customHeight="1" x14ac:dyDescent="0.25">
      <c r="A49" s="67"/>
      <c r="B49" s="60"/>
      <c r="C49" s="68"/>
      <c r="D49" s="69"/>
      <c r="E49" s="70"/>
      <c r="F49" s="71"/>
      <c r="G49" s="71"/>
      <c r="H49" s="72"/>
      <c r="O49" s="18"/>
      <c r="P49" s="18"/>
      <c r="Q49" s="13"/>
    </row>
    <row r="50" spans="1:17" ht="20.100000000000001" customHeight="1" x14ac:dyDescent="0.25">
      <c r="A50" s="67"/>
      <c r="B50" s="60"/>
      <c r="C50" s="68"/>
      <c r="D50" s="69"/>
      <c r="E50" s="70"/>
      <c r="F50" s="71"/>
      <c r="G50" s="71"/>
      <c r="H50" s="72"/>
      <c r="O50" s="18"/>
      <c r="P50" s="18"/>
      <c r="Q50" s="13"/>
    </row>
    <row r="51" spans="1:17" ht="20.100000000000001" customHeight="1" x14ac:dyDescent="0.25">
      <c r="A51" s="67"/>
      <c r="B51" s="60"/>
      <c r="C51" s="68"/>
      <c r="D51" s="69"/>
      <c r="E51" s="70"/>
      <c r="F51" s="71"/>
      <c r="G51" s="71"/>
      <c r="H51" s="72"/>
      <c r="O51" s="18"/>
      <c r="P51" s="18"/>
      <c r="Q51" s="13"/>
    </row>
    <row r="52" spans="1:17" ht="20.100000000000001" customHeight="1" x14ac:dyDescent="0.25">
      <c r="A52" s="67"/>
      <c r="B52" s="60"/>
      <c r="C52" s="68"/>
      <c r="D52" s="69"/>
      <c r="E52" s="70"/>
      <c r="F52" s="71"/>
      <c r="G52" s="71"/>
      <c r="H52" s="72"/>
      <c r="O52" s="18"/>
      <c r="P52" s="18"/>
      <c r="Q52" s="13"/>
    </row>
    <row r="53" spans="1:17" ht="15.75" thickBot="1" x14ac:dyDescent="0.3">
      <c r="A53" s="30"/>
      <c r="B53" s="27"/>
      <c r="C53" s="28"/>
      <c r="D53" s="31"/>
      <c r="E53" s="47"/>
      <c r="F53" s="57"/>
      <c r="G53" s="57"/>
      <c r="H53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53"/>
  <sheetViews>
    <sheetView workbookViewId="0">
      <selection activeCell="F28" sqref="F28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20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20" ht="18.75" x14ac:dyDescent="0.3">
      <c r="A2" s="19"/>
      <c r="B2" s="24"/>
      <c r="D2" s="19"/>
      <c r="E2" s="19"/>
      <c r="F2" s="55"/>
    </row>
    <row r="3" spans="1:20" ht="18.75" x14ac:dyDescent="0.3">
      <c r="A3" s="20" t="s">
        <v>251</v>
      </c>
      <c r="C3" s="25">
        <v>353</v>
      </c>
      <c r="D3" s="19"/>
      <c r="E3" s="19"/>
      <c r="F3" s="55"/>
    </row>
    <row r="4" spans="1:20" ht="18.75" x14ac:dyDescent="0.3">
      <c r="A4" s="19"/>
      <c r="B4" s="24"/>
      <c r="D4" s="19"/>
      <c r="E4" s="19"/>
      <c r="F4" s="55"/>
    </row>
    <row r="5" spans="1:20" ht="18.75" x14ac:dyDescent="0.3">
      <c r="A5" s="20" t="s">
        <v>256</v>
      </c>
      <c r="C5" s="26" t="s">
        <v>79</v>
      </c>
      <c r="D5" s="19"/>
      <c r="E5" s="19"/>
      <c r="F5" s="55"/>
    </row>
    <row r="6" spans="1:20" ht="39.75" customHeight="1" x14ac:dyDescent="0.3">
      <c r="A6" s="20" t="s">
        <v>252</v>
      </c>
      <c r="C6" s="23">
        <v>25449</v>
      </c>
      <c r="D6" s="20" t="s">
        <v>253</v>
      </c>
      <c r="E6" s="49">
        <f ca="1">(B1-C6)/365</f>
        <v>56.556164383561644</v>
      </c>
      <c r="F6" s="48"/>
    </row>
    <row r="7" spans="1:20" ht="26.25" customHeight="1" x14ac:dyDescent="0.3">
      <c r="A7" s="20" t="s">
        <v>254</v>
      </c>
      <c r="C7" s="23">
        <v>42247</v>
      </c>
      <c r="D7" s="20" t="s">
        <v>255</v>
      </c>
      <c r="E7" s="49">
        <f ca="1">(B1-C7)/365</f>
        <v>10.534246575342467</v>
      </c>
      <c r="F7" s="48"/>
    </row>
    <row r="8" spans="1:20" x14ac:dyDescent="0.25">
      <c r="B8"/>
    </row>
    <row r="9" spans="1:20" x14ac:dyDescent="0.25">
      <c r="B9"/>
    </row>
    <row r="10" spans="1:20" ht="18.75" x14ac:dyDescent="0.3">
      <c r="A10" s="20" t="s">
        <v>257</v>
      </c>
      <c r="B10"/>
    </row>
    <row r="11" spans="1:20" ht="15.75" thickBot="1" x14ac:dyDescent="0.3"/>
    <row r="12" spans="1:20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20" ht="20.100000000000001" customHeight="1" x14ac:dyDescent="0.25">
      <c r="A13" s="67"/>
      <c r="B13" s="60"/>
      <c r="C13" s="68"/>
      <c r="D13" s="69"/>
      <c r="E13" s="70"/>
      <c r="F13" s="71"/>
      <c r="G13" s="71"/>
      <c r="H13" s="72"/>
      <c r="O13" s="18"/>
      <c r="P13" s="18"/>
      <c r="Q13" s="13"/>
    </row>
    <row r="14" spans="1:20" ht="20.100000000000001" customHeight="1" x14ac:dyDescent="0.25">
      <c r="A14" s="67">
        <v>1004</v>
      </c>
      <c r="B14" s="60" t="s">
        <v>206</v>
      </c>
      <c r="C14" s="68"/>
      <c r="D14" s="69"/>
      <c r="E14" s="79" t="s">
        <v>280</v>
      </c>
      <c r="F14" s="71"/>
      <c r="G14" s="71">
        <v>2015</v>
      </c>
      <c r="H14" s="72">
        <v>7</v>
      </c>
      <c r="L14">
        <v>353</v>
      </c>
      <c r="M14" t="s">
        <v>79</v>
      </c>
      <c r="N14">
        <v>2015</v>
      </c>
      <c r="Q14" s="13">
        <v>1004</v>
      </c>
      <c r="R14" t="str">
        <f>VLOOKUP(Q14,'Liste Formations'!$A$5:$B$182,2,FALSE)</f>
        <v>Conduite Chariots Cat.3</v>
      </c>
      <c r="S14">
        <v>7</v>
      </c>
      <c r="T14" t="s">
        <v>280</v>
      </c>
    </row>
    <row r="15" spans="1:20" ht="20.100000000000001" customHeight="1" x14ac:dyDescent="0.25">
      <c r="A15" s="67">
        <v>3043</v>
      </c>
      <c r="B15" s="60" t="s">
        <v>44</v>
      </c>
      <c r="C15" s="68"/>
      <c r="D15" s="69"/>
      <c r="E15" s="79" t="s">
        <v>308</v>
      </c>
      <c r="F15" s="71"/>
      <c r="G15" s="71">
        <v>2015</v>
      </c>
      <c r="H15" s="72">
        <v>151.66999999999999</v>
      </c>
      <c r="L15">
        <v>353</v>
      </c>
      <c r="M15" t="s">
        <v>79</v>
      </c>
      <c r="N15">
        <v>2015</v>
      </c>
      <c r="Q15" s="13">
        <v>3043</v>
      </c>
      <c r="R15" t="str">
        <f>VLOOKUP(Q15,'Liste Formations'!$A$5:$B$182,2,FALSE)</f>
        <v>Poste 1412</v>
      </c>
      <c r="S15">
        <v>151.66999999999999</v>
      </c>
      <c r="T15" t="s">
        <v>308</v>
      </c>
    </row>
    <row r="16" spans="1:20" ht="20.100000000000001" customHeight="1" x14ac:dyDescent="0.25">
      <c r="A16" s="67">
        <v>3043</v>
      </c>
      <c r="B16" s="60" t="s">
        <v>44</v>
      </c>
      <c r="C16" s="68"/>
      <c r="D16" s="69"/>
      <c r="E16" s="79" t="s">
        <v>308</v>
      </c>
      <c r="F16" s="71"/>
      <c r="G16" s="71">
        <v>2017</v>
      </c>
      <c r="H16" s="72">
        <v>151.66999999999999</v>
      </c>
      <c r="L16">
        <v>353</v>
      </c>
      <c r="M16" t="s">
        <v>79</v>
      </c>
      <c r="N16">
        <v>2017</v>
      </c>
      <c r="Q16" s="13">
        <v>3043</v>
      </c>
      <c r="R16" t="str">
        <f>VLOOKUP(Q16,'Liste Formations'!$A$5:$B$182,2,FALSE)</f>
        <v>Poste 1412</v>
      </c>
      <c r="S16">
        <v>151.66999999999999</v>
      </c>
      <c r="T16" t="s">
        <v>308</v>
      </c>
    </row>
    <row r="17" spans="1:20" ht="20.100000000000001" customHeight="1" x14ac:dyDescent="0.25">
      <c r="A17" s="67">
        <v>2007</v>
      </c>
      <c r="B17" s="60" t="s">
        <v>245</v>
      </c>
      <c r="C17" s="68"/>
      <c r="D17" s="69"/>
      <c r="E17" s="79" t="s">
        <v>308</v>
      </c>
      <c r="F17" s="71"/>
      <c r="G17" s="71">
        <v>2017</v>
      </c>
      <c r="H17" s="72">
        <v>2.5</v>
      </c>
      <c r="L17">
        <v>353</v>
      </c>
      <c r="M17" t="s">
        <v>79</v>
      </c>
      <c r="N17">
        <v>2017</v>
      </c>
      <c r="Q17" s="13">
        <v>2007</v>
      </c>
      <c r="R17" t="str">
        <f>VLOOKUP(Q17,'Liste Formations'!$A$5:$B$182,2,FALSE)</f>
        <v>ERP DIVALTO</v>
      </c>
      <c r="S17">
        <v>2.5</v>
      </c>
      <c r="T17" t="s">
        <v>308</v>
      </c>
    </row>
    <row r="18" spans="1:20" ht="20.100000000000001" customHeight="1" x14ac:dyDescent="0.25">
      <c r="A18" s="67">
        <v>1020</v>
      </c>
      <c r="B18" s="60" t="s">
        <v>202</v>
      </c>
      <c r="C18" s="68"/>
      <c r="D18" s="69"/>
      <c r="E18" s="79" t="s">
        <v>311</v>
      </c>
      <c r="F18" s="71"/>
      <c r="G18" s="71">
        <v>2018</v>
      </c>
      <c r="H18" s="72">
        <v>3.5</v>
      </c>
      <c r="L18">
        <v>353</v>
      </c>
      <c r="M18" t="s">
        <v>79</v>
      </c>
      <c r="N18">
        <v>2018</v>
      </c>
      <c r="Q18" s="13">
        <v>1020</v>
      </c>
      <c r="R18" t="str">
        <f>VLOOKUP(Q18,'Liste Formations'!$A$5:$B$182,2,FALSE)</f>
        <v>Prévention TMS - Gestes Postures et Nutrition</v>
      </c>
      <c r="S18">
        <v>3.5</v>
      </c>
      <c r="T18" t="s">
        <v>311</v>
      </c>
    </row>
    <row r="19" spans="1:20" ht="20.100000000000001" customHeight="1" x14ac:dyDescent="0.25">
      <c r="A19" s="67">
        <v>3043</v>
      </c>
      <c r="B19" s="60" t="s">
        <v>44</v>
      </c>
      <c r="C19" s="68"/>
      <c r="D19" s="69"/>
      <c r="E19" s="79" t="s">
        <v>308</v>
      </c>
      <c r="F19" s="71"/>
      <c r="G19" s="71">
        <v>2019</v>
      </c>
      <c r="H19" s="72">
        <v>151.66999999999999</v>
      </c>
      <c r="L19">
        <v>353</v>
      </c>
      <c r="M19" t="s">
        <v>79</v>
      </c>
      <c r="N19">
        <v>2019</v>
      </c>
      <c r="Q19" s="13">
        <v>3043</v>
      </c>
      <c r="R19" t="str">
        <f>VLOOKUP(Q19,'Liste Formations'!$A$5:$B$182,2,FALSE)</f>
        <v>Poste 1412</v>
      </c>
      <c r="S19">
        <v>151.66999999999999</v>
      </c>
      <c r="T19" t="s">
        <v>308</v>
      </c>
    </row>
    <row r="20" spans="1:20" ht="20.100000000000001" customHeight="1" x14ac:dyDescent="0.25">
      <c r="A20" s="67">
        <v>3043</v>
      </c>
      <c r="B20" s="60" t="s">
        <v>44</v>
      </c>
      <c r="C20" s="68"/>
      <c r="D20" s="69"/>
      <c r="E20" s="79" t="s">
        <v>308</v>
      </c>
      <c r="F20" s="71"/>
      <c r="G20" s="71">
        <v>2021</v>
      </c>
      <c r="H20" s="72">
        <v>151.66999999999999</v>
      </c>
      <c r="L20">
        <v>353</v>
      </c>
      <c r="M20" t="s">
        <v>79</v>
      </c>
      <c r="N20">
        <v>2021</v>
      </c>
      <c r="Q20" s="13">
        <v>3043</v>
      </c>
      <c r="R20" t="str">
        <f>VLOOKUP(Q20,'Liste Formations'!$A$5:$B$182,2,FALSE)</f>
        <v>Poste 1412</v>
      </c>
      <c r="S20">
        <v>151.66999999999999</v>
      </c>
      <c r="T20" t="s">
        <v>308</v>
      </c>
    </row>
    <row r="21" spans="1:20" ht="20.100000000000001" customHeight="1" x14ac:dyDescent="0.25">
      <c r="A21" s="67">
        <v>1012</v>
      </c>
      <c r="B21" s="60" t="s">
        <v>242</v>
      </c>
      <c r="C21" s="68"/>
      <c r="D21" s="69"/>
      <c r="E21" s="79" t="s">
        <v>312</v>
      </c>
      <c r="F21" s="71"/>
      <c r="G21" s="71">
        <v>2023</v>
      </c>
      <c r="H21" s="72">
        <v>3.5</v>
      </c>
      <c r="L21">
        <v>353</v>
      </c>
      <c r="M21" t="s">
        <v>79</v>
      </c>
      <c r="N21">
        <v>2023</v>
      </c>
      <c r="Q21" s="13">
        <v>1012</v>
      </c>
      <c r="R21" t="str">
        <f>VLOOKUP(Q21,'Liste Formations'!$A$5:$B$182,2,FALSE)</f>
        <v>ATEX Niveau 0 - Sensibilisation</v>
      </c>
      <c r="S21">
        <v>3.5</v>
      </c>
      <c r="T21" t="s">
        <v>312</v>
      </c>
    </row>
    <row r="22" spans="1:20" ht="20.100000000000001" customHeight="1" x14ac:dyDescent="0.25">
      <c r="A22" s="67">
        <v>1009</v>
      </c>
      <c r="B22" s="60" t="s">
        <v>221</v>
      </c>
      <c r="C22" s="68"/>
      <c r="D22" s="69"/>
      <c r="E22" s="79" t="s">
        <v>308</v>
      </c>
      <c r="F22" s="71"/>
      <c r="G22" s="71">
        <v>2023</v>
      </c>
      <c r="H22" s="72">
        <v>2</v>
      </c>
      <c r="L22">
        <v>353</v>
      </c>
      <c r="M22" t="s">
        <v>79</v>
      </c>
      <c r="N22">
        <v>2023</v>
      </c>
      <c r="Q22" s="13">
        <v>1009</v>
      </c>
      <c r="R22" t="str">
        <f>VLOOKUP(Q22,'Liste Formations'!$A$5:$B$182,2,FALSE)</f>
        <v>Défibrillateur</v>
      </c>
      <c r="S22">
        <v>2</v>
      </c>
      <c r="T22" t="s">
        <v>308</v>
      </c>
    </row>
    <row r="23" spans="1:20" ht="20.100000000000001" customHeight="1" x14ac:dyDescent="0.25">
      <c r="A23" s="67">
        <v>1010</v>
      </c>
      <c r="B23" s="60" t="s">
        <v>222</v>
      </c>
      <c r="C23" s="68"/>
      <c r="D23" s="69"/>
      <c r="E23" s="79" t="s">
        <v>308</v>
      </c>
      <c r="F23" s="71"/>
      <c r="G23" s="71">
        <v>2023</v>
      </c>
      <c r="H23" s="72">
        <v>2</v>
      </c>
      <c r="L23">
        <v>353</v>
      </c>
      <c r="M23" t="s">
        <v>79</v>
      </c>
      <c r="N23">
        <v>2023</v>
      </c>
      <c r="Q23" s="13">
        <v>1010</v>
      </c>
      <c r="R23" t="s">
        <v>222</v>
      </c>
      <c r="S23">
        <v>2</v>
      </c>
      <c r="T23" t="s">
        <v>308</v>
      </c>
    </row>
    <row r="24" spans="1:20" ht="20.100000000000001" customHeight="1" x14ac:dyDescent="0.25">
      <c r="A24" s="67">
        <v>1004</v>
      </c>
      <c r="B24" s="60" t="s">
        <v>206</v>
      </c>
      <c r="C24" s="68"/>
      <c r="D24" s="69"/>
      <c r="E24" s="79" t="s">
        <v>280</v>
      </c>
      <c r="F24" s="71"/>
      <c r="G24" s="71">
        <v>2023</v>
      </c>
      <c r="H24" s="72">
        <v>7</v>
      </c>
      <c r="L24">
        <v>353</v>
      </c>
      <c r="M24" t="s">
        <v>79</v>
      </c>
      <c r="N24">
        <v>2023</v>
      </c>
      <c r="Q24" s="13">
        <v>1004</v>
      </c>
      <c r="R24" t="str">
        <f>VLOOKUP(Q24,'Liste Formations'!$A$5:$B$182,2,FALSE)</f>
        <v>Conduite Chariots Cat.3</v>
      </c>
      <c r="S24">
        <v>7</v>
      </c>
      <c r="T24" t="s">
        <v>280</v>
      </c>
    </row>
    <row r="25" spans="1:20" ht="20.100000000000001" customHeight="1" x14ac:dyDescent="0.25">
      <c r="A25" s="67">
        <v>1003</v>
      </c>
      <c r="B25" s="60" t="s">
        <v>205</v>
      </c>
      <c r="C25" s="68"/>
      <c r="D25" s="69"/>
      <c r="E25" s="79" t="s">
        <v>280</v>
      </c>
      <c r="F25" s="71"/>
      <c r="G25" s="71">
        <v>2023</v>
      </c>
      <c r="H25" s="72">
        <v>4</v>
      </c>
      <c r="L25">
        <v>353</v>
      </c>
      <c r="M25" t="s">
        <v>79</v>
      </c>
      <c r="N25">
        <v>2023</v>
      </c>
      <c r="Q25" s="13">
        <v>1003</v>
      </c>
      <c r="R25" t="str">
        <f>VLOOKUP(Q25,'Liste Formations'!$A$5:$B$182,2,FALSE)</f>
        <v>Conduite Chariots Cat.5</v>
      </c>
      <c r="S25">
        <v>4</v>
      </c>
      <c r="T25" t="s">
        <v>280</v>
      </c>
    </row>
    <row r="26" spans="1:20" ht="20.100000000000001" customHeight="1" x14ac:dyDescent="0.25">
      <c r="A26" s="67">
        <v>1010</v>
      </c>
      <c r="B26" s="60" t="s">
        <v>222</v>
      </c>
      <c r="C26" s="68"/>
      <c r="D26" s="69"/>
      <c r="E26" s="79" t="s">
        <v>308</v>
      </c>
      <c r="F26" s="71"/>
      <c r="G26" s="71">
        <v>2024</v>
      </c>
      <c r="H26" s="72">
        <v>2</v>
      </c>
      <c r="L26">
        <v>353</v>
      </c>
      <c r="M26" t="s">
        <v>79</v>
      </c>
      <c r="N26">
        <v>2024</v>
      </c>
      <c r="Q26" s="13">
        <v>1010</v>
      </c>
      <c r="R26" t="s">
        <v>222</v>
      </c>
      <c r="S26">
        <v>2</v>
      </c>
      <c r="T26" t="s">
        <v>308</v>
      </c>
    </row>
    <row r="27" spans="1:20" ht="20.100000000000001" customHeight="1" x14ac:dyDescent="0.25">
      <c r="A27" s="67">
        <v>1009</v>
      </c>
      <c r="B27" s="60" t="s">
        <v>221</v>
      </c>
      <c r="C27" s="68"/>
      <c r="D27" s="69"/>
      <c r="E27" s="79" t="s">
        <v>308</v>
      </c>
      <c r="F27" s="71"/>
      <c r="G27" s="71">
        <v>2024</v>
      </c>
      <c r="H27" s="72">
        <v>2</v>
      </c>
      <c r="L27">
        <v>353</v>
      </c>
      <c r="M27" t="s">
        <v>79</v>
      </c>
      <c r="N27">
        <v>2024</v>
      </c>
      <c r="Q27" s="13">
        <v>1009</v>
      </c>
      <c r="R27" t="str">
        <f>VLOOKUP(Q27,'Liste Formations'!$A$5:$B$182,2,FALSE)</f>
        <v>Défibrillateur</v>
      </c>
      <c r="S27">
        <v>2</v>
      </c>
      <c r="T27" t="s">
        <v>308</v>
      </c>
    </row>
    <row r="28" spans="1:20" ht="20.100000000000001" customHeight="1" x14ac:dyDescent="0.25">
      <c r="A28" s="67"/>
      <c r="B28" s="60"/>
      <c r="C28" s="68"/>
      <c r="D28" s="69"/>
      <c r="E28" s="71"/>
      <c r="F28" s="71"/>
      <c r="G28" s="71"/>
      <c r="H28" s="72"/>
      <c r="O28" s="18"/>
      <c r="P28" s="18"/>
      <c r="Q28" s="13"/>
    </row>
    <row r="29" spans="1:20" ht="20.100000000000001" customHeight="1" x14ac:dyDescent="0.25">
      <c r="A29" s="67"/>
      <c r="B29" s="60"/>
      <c r="C29" s="68"/>
      <c r="D29" s="69"/>
      <c r="E29" s="70"/>
      <c r="F29" s="71"/>
      <c r="G29" s="71"/>
      <c r="H29" s="72"/>
      <c r="O29" s="18"/>
      <c r="P29" s="18"/>
      <c r="Q29" s="13"/>
    </row>
    <row r="30" spans="1:20" ht="20.100000000000001" customHeight="1" x14ac:dyDescent="0.25">
      <c r="A30" s="67"/>
      <c r="B30" s="60"/>
      <c r="C30" s="68"/>
      <c r="D30" s="69"/>
      <c r="E30" s="70"/>
      <c r="F30" s="71"/>
      <c r="G30" s="71"/>
      <c r="H30" s="72"/>
      <c r="O30" s="18"/>
      <c r="P30" s="18"/>
      <c r="Q30" s="13"/>
    </row>
    <row r="31" spans="1:20" ht="20.100000000000001" customHeight="1" x14ac:dyDescent="0.25">
      <c r="A31" s="67"/>
      <c r="B31" s="60"/>
      <c r="C31" s="68"/>
      <c r="D31" s="69"/>
      <c r="E31" s="70"/>
      <c r="F31" s="71"/>
      <c r="G31" s="71"/>
      <c r="H31" s="72"/>
      <c r="O31" s="18"/>
      <c r="P31" s="18"/>
      <c r="Q31" s="13"/>
    </row>
    <row r="32" spans="1:20" ht="20.100000000000001" customHeight="1" x14ac:dyDescent="0.25">
      <c r="A32" s="67"/>
      <c r="B32" s="60"/>
      <c r="C32" s="68"/>
      <c r="D32" s="69"/>
      <c r="E32" s="70"/>
      <c r="F32" s="71"/>
      <c r="G32" s="71"/>
      <c r="H32" s="72"/>
      <c r="O32" s="18"/>
      <c r="P32" s="18"/>
      <c r="Q32" s="13"/>
    </row>
    <row r="33" spans="1:17" ht="20.100000000000001" customHeight="1" x14ac:dyDescent="0.25">
      <c r="A33" s="67"/>
      <c r="B33" s="60"/>
      <c r="C33" s="68"/>
      <c r="D33" s="69"/>
      <c r="E33" s="70"/>
      <c r="F33" s="71"/>
      <c r="G33" s="71"/>
      <c r="H33" s="72"/>
      <c r="O33" s="18"/>
      <c r="P33" s="18"/>
      <c r="Q33" s="13"/>
    </row>
    <row r="34" spans="1:17" ht="20.100000000000001" customHeight="1" x14ac:dyDescent="0.25">
      <c r="A34" s="67"/>
      <c r="B34" s="60"/>
      <c r="C34" s="68"/>
      <c r="D34" s="69"/>
      <c r="E34" s="70"/>
      <c r="F34" s="71"/>
      <c r="G34" s="71"/>
      <c r="H34" s="72"/>
      <c r="O34" s="18"/>
      <c r="P34" s="18"/>
      <c r="Q34" s="13"/>
    </row>
    <row r="35" spans="1:17" ht="20.100000000000001" customHeight="1" x14ac:dyDescent="0.25">
      <c r="A35" s="67"/>
      <c r="B35" s="60"/>
      <c r="C35" s="68"/>
      <c r="D35" s="69"/>
      <c r="E35" s="70"/>
      <c r="F35" s="71"/>
      <c r="G35" s="71"/>
      <c r="H35" s="72"/>
      <c r="O35" s="18"/>
      <c r="P35" s="18"/>
      <c r="Q35" s="13"/>
    </row>
    <row r="36" spans="1:17" ht="20.100000000000001" customHeight="1" x14ac:dyDescent="0.25">
      <c r="A36" s="67"/>
      <c r="B36" s="60"/>
      <c r="C36" s="68"/>
      <c r="D36" s="69"/>
      <c r="E36" s="70"/>
      <c r="F36" s="71"/>
      <c r="G36" s="71"/>
      <c r="H36" s="72"/>
      <c r="O36" s="18"/>
      <c r="P36" s="18"/>
      <c r="Q36" s="13"/>
    </row>
    <row r="37" spans="1:17" ht="20.100000000000001" customHeight="1" x14ac:dyDescent="0.25">
      <c r="A37" s="67"/>
      <c r="B37" s="60"/>
      <c r="C37" s="68"/>
      <c r="D37" s="69"/>
      <c r="E37" s="70"/>
      <c r="F37" s="71"/>
      <c r="G37" s="71"/>
      <c r="H37" s="72"/>
      <c r="O37" s="18"/>
      <c r="P37" s="18"/>
      <c r="Q37" s="13"/>
    </row>
    <row r="38" spans="1:17" ht="20.100000000000001" customHeight="1" x14ac:dyDescent="0.25">
      <c r="A38" s="67"/>
      <c r="B38" s="60"/>
      <c r="C38" s="68"/>
      <c r="D38" s="69"/>
      <c r="E38" s="70"/>
      <c r="F38" s="71"/>
      <c r="G38" s="71"/>
      <c r="H38" s="72"/>
      <c r="O38" s="18"/>
      <c r="P38" s="18"/>
      <c r="Q38" s="13"/>
    </row>
    <row r="39" spans="1:17" ht="20.100000000000001" customHeight="1" x14ac:dyDescent="0.25">
      <c r="A39" s="67"/>
      <c r="B39" s="60"/>
      <c r="C39" s="68"/>
      <c r="D39" s="69"/>
      <c r="E39" s="70"/>
      <c r="F39" s="71"/>
      <c r="G39" s="71"/>
      <c r="H39" s="72"/>
      <c r="O39" s="18"/>
      <c r="P39" s="18"/>
      <c r="Q39" s="13"/>
    </row>
    <row r="40" spans="1:17" ht="20.100000000000001" customHeight="1" x14ac:dyDescent="0.25">
      <c r="A40" s="67"/>
      <c r="B40" s="60"/>
      <c r="C40" s="68"/>
      <c r="D40" s="69"/>
      <c r="E40" s="70"/>
      <c r="F40" s="71"/>
      <c r="G40" s="71"/>
      <c r="H40" s="72"/>
      <c r="O40" s="18"/>
      <c r="P40" s="18"/>
      <c r="Q40" s="13"/>
    </row>
    <row r="41" spans="1:17" ht="20.100000000000001" customHeight="1" x14ac:dyDescent="0.25">
      <c r="A41" s="67"/>
      <c r="B41" s="60"/>
      <c r="C41" s="68"/>
      <c r="D41" s="69"/>
      <c r="E41" s="70"/>
      <c r="F41" s="71"/>
      <c r="G41" s="71"/>
      <c r="H41" s="72"/>
      <c r="O41" s="18"/>
      <c r="P41" s="18"/>
      <c r="Q41" s="13"/>
    </row>
    <row r="42" spans="1:17" ht="20.100000000000001" customHeight="1" x14ac:dyDescent="0.25">
      <c r="A42" s="67"/>
      <c r="B42" s="60"/>
      <c r="C42" s="68"/>
      <c r="D42" s="69"/>
      <c r="E42" s="70"/>
      <c r="F42" s="71"/>
      <c r="G42" s="71"/>
      <c r="H42" s="72"/>
      <c r="O42" s="18"/>
      <c r="P42" s="18"/>
      <c r="Q42" s="13"/>
    </row>
    <row r="43" spans="1:17" ht="20.100000000000001" customHeight="1" x14ac:dyDescent="0.25">
      <c r="A43" s="67"/>
      <c r="B43" s="60"/>
      <c r="C43" s="68"/>
      <c r="D43" s="69"/>
      <c r="E43" s="70"/>
      <c r="F43" s="71"/>
      <c r="G43" s="71"/>
      <c r="H43" s="72"/>
      <c r="O43" s="18"/>
      <c r="P43" s="18"/>
      <c r="Q43" s="13"/>
    </row>
    <row r="44" spans="1:17" ht="20.100000000000001" customHeight="1" x14ac:dyDescent="0.25">
      <c r="A44" s="67"/>
      <c r="B44" s="60"/>
      <c r="C44" s="68"/>
      <c r="D44" s="69"/>
      <c r="E44" s="70"/>
      <c r="F44" s="71"/>
      <c r="G44" s="71"/>
      <c r="H44" s="72"/>
      <c r="O44" s="18"/>
      <c r="P44" s="18"/>
      <c r="Q44" s="13"/>
    </row>
    <row r="45" spans="1:17" ht="20.100000000000001" customHeight="1" x14ac:dyDescent="0.25">
      <c r="A45" s="67"/>
      <c r="B45" s="60"/>
      <c r="C45" s="68"/>
      <c r="D45" s="69"/>
      <c r="E45" s="70"/>
      <c r="F45" s="71"/>
      <c r="G45" s="71"/>
      <c r="H45" s="72"/>
      <c r="O45" s="18"/>
      <c r="P45" s="18"/>
      <c r="Q45" s="13"/>
    </row>
    <row r="46" spans="1:17" ht="20.100000000000001" customHeight="1" x14ac:dyDescent="0.25">
      <c r="A46" s="67"/>
      <c r="B46" s="60"/>
      <c r="C46" s="68"/>
      <c r="D46" s="69"/>
      <c r="E46" s="70"/>
      <c r="F46" s="71"/>
      <c r="G46" s="71"/>
      <c r="H46" s="72"/>
      <c r="O46" s="18"/>
      <c r="P46" s="18"/>
      <c r="Q46" s="13"/>
    </row>
    <row r="47" spans="1:17" ht="20.100000000000001" customHeight="1" x14ac:dyDescent="0.25">
      <c r="A47" s="67"/>
      <c r="B47" s="60"/>
      <c r="C47" s="68"/>
      <c r="D47" s="69"/>
      <c r="E47" s="70"/>
      <c r="F47" s="71"/>
      <c r="G47" s="71"/>
      <c r="H47" s="72"/>
      <c r="O47" s="18"/>
      <c r="P47" s="18"/>
      <c r="Q47" s="13"/>
    </row>
    <row r="48" spans="1:17" ht="20.100000000000001" customHeight="1" x14ac:dyDescent="0.25">
      <c r="A48" s="67"/>
      <c r="B48" s="60"/>
      <c r="C48" s="68"/>
      <c r="D48" s="69"/>
      <c r="E48" s="70"/>
      <c r="F48" s="71"/>
      <c r="G48" s="71"/>
      <c r="H48" s="72"/>
      <c r="O48" s="18"/>
      <c r="P48" s="18"/>
      <c r="Q48" s="13"/>
    </row>
    <row r="49" spans="1:17" ht="20.100000000000001" customHeight="1" x14ac:dyDescent="0.25">
      <c r="A49" s="67"/>
      <c r="B49" s="60"/>
      <c r="C49" s="68"/>
      <c r="D49" s="69"/>
      <c r="E49" s="70"/>
      <c r="F49" s="71"/>
      <c r="G49" s="71"/>
      <c r="H49" s="72"/>
      <c r="O49" s="18"/>
      <c r="P49" s="18"/>
      <c r="Q49" s="13"/>
    </row>
    <row r="50" spans="1:17" ht="20.100000000000001" customHeight="1" x14ac:dyDescent="0.25">
      <c r="A50" s="67"/>
      <c r="B50" s="60"/>
      <c r="C50" s="68"/>
      <c r="D50" s="69"/>
      <c r="E50" s="70"/>
      <c r="F50" s="71"/>
      <c r="G50" s="71"/>
      <c r="H50" s="72"/>
      <c r="O50" s="18"/>
      <c r="P50" s="18"/>
      <c r="Q50" s="13"/>
    </row>
    <row r="51" spans="1:17" ht="20.100000000000001" customHeight="1" x14ac:dyDescent="0.25">
      <c r="A51" s="67"/>
      <c r="B51" s="60"/>
      <c r="C51" s="68"/>
      <c r="D51" s="69"/>
      <c r="E51" s="70"/>
      <c r="F51" s="71"/>
      <c r="G51" s="71"/>
      <c r="H51" s="72"/>
      <c r="O51" s="18"/>
      <c r="P51" s="18"/>
      <c r="Q51" s="13"/>
    </row>
    <row r="52" spans="1:17" ht="20.100000000000001" customHeight="1" x14ac:dyDescent="0.25">
      <c r="A52" s="67"/>
      <c r="B52" s="60"/>
      <c r="C52" s="68"/>
      <c r="D52" s="69"/>
      <c r="E52" s="70"/>
      <c r="F52" s="71"/>
      <c r="G52" s="71"/>
      <c r="H52" s="72"/>
      <c r="O52" s="18"/>
      <c r="P52" s="18"/>
      <c r="Q52" s="13"/>
    </row>
    <row r="53" spans="1:17" ht="15.75" thickBot="1" x14ac:dyDescent="0.3">
      <c r="A53" s="30"/>
      <c r="B53" s="27"/>
      <c r="C53" s="28"/>
      <c r="D53" s="31"/>
      <c r="E53" s="47"/>
      <c r="F53" s="57"/>
      <c r="G53" s="57"/>
      <c r="H53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1"/>
  <sheetViews>
    <sheetView workbookViewId="0">
      <selection activeCell="B1" sqref="B1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17" ht="18.75" x14ac:dyDescent="0.3">
      <c r="A1" s="20" t="s">
        <v>250</v>
      </c>
      <c r="B1" s="58">
        <v>44957</v>
      </c>
      <c r="D1" s="19"/>
      <c r="E1" s="19"/>
      <c r="F1" s="55"/>
    </row>
    <row r="2" spans="1:17" ht="18.75" x14ac:dyDescent="0.3">
      <c r="A2" s="19"/>
      <c r="B2" s="24"/>
      <c r="D2" s="19"/>
      <c r="E2" s="19"/>
      <c r="F2" s="55"/>
    </row>
    <row r="3" spans="1:17" ht="18.75" x14ac:dyDescent="0.3">
      <c r="A3" s="20" t="s">
        <v>251</v>
      </c>
      <c r="C3" s="25">
        <v>52</v>
      </c>
      <c r="D3" s="19"/>
      <c r="E3" s="19"/>
      <c r="F3" s="55"/>
    </row>
    <row r="4" spans="1:17" ht="18.75" x14ac:dyDescent="0.3">
      <c r="A4" s="19"/>
      <c r="B4" s="24"/>
      <c r="D4" s="19"/>
      <c r="E4" s="19"/>
      <c r="F4" s="55"/>
    </row>
    <row r="5" spans="1:17" ht="18.75" x14ac:dyDescent="0.3">
      <c r="A5" s="20" t="s">
        <v>256</v>
      </c>
      <c r="C5" s="26" t="s">
        <v>298</v>
      </c>
      <c r="D5" s="19"/>
      <c r="E5" s="19"/>
      <c r="F5" s="55"/>
    </row>
    <row r="6" spans="1:17" ht="39.75" customHeight="1" x14ac:dyDescent="0.3">
      <c r="A6" s="20" t="s">
        <v>252</v>
      </c>
      <c r="C6" s="23">
        <v>23003</v>
      </c>
      <c r="D6" s="20" t="s">
        <v>253</v>
      </c>
      <c r="E6" s="49">
        <f>(B1-C6)/365</f>
        <v>60.147945205479452</v>
      </c>
      <c r="F6" s="48"/>
    </row>
    <row r="7" spans="1:17" ht="26.25" customHeight="1" x14ac:dyDescent="0.3">
      <c r="A7" s="20" t="s">
        <v>254</v>
      </c>
      <c r="C7" s="23">
        <v>32090</v>
      </c>
      <c r="D7" s="20" t="s">
        <v>255</v>
      </c>
      <c r="E7" s="49">
        <f>(B1-C7)/365</f>
        <v>35.252054794520546</v>
      </c>
      <c r="F7" s="48"/>
    </row>
    <row r="8" spans="1:17" x14ac:dyDescent="0.25">
      <c r="B8"/>
    </row>
    <row r="9" spans="1:17" x14ac:dyDescent="0.25">
      <c r="B9"/>
    </row>
    <row r="10" spans="1:17" ht="18.75" x14ac:dyDescent="0.3">
      <c r="A10" s="20" t="s">
        <v>257</v>
      </c>
      <c r="B10"/>
    </row>
    <row r="11" spans="1:17" ht="15.75" thickBot="1" x14ac:dyDescent="0.3"/>
    <row r="12" spans="1:17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17" ht="20.100000000000001" customHeight="1" x14ac:dyDescent="0.25">
      <c r="A13" s="67">
        <v>3001</v>
      </c>
      <c r="B13" s="60" t="s">
        <v>23</v>
      </c>
      <c r="C13" s="68"/>
      <c r="D13" s="69"/>
      <c r="E13" s="70"/>
      <c r="F13" s="71"/>
      <c r="G13" s="71">
        <v>2003</v>
      </c>
      <c r="H13" s="72">
        <v>151.66999999999999</v>
      </c>
      <c r="O13" s="18"/>
      <c r="P13" s="18"/>
      <c r="Q13" s="13"/>
    </row>
    <row r="14" spans="1:17" ht="20.100000000000001" customHeight="1" x14ac:dyDescent="0.25">
      <c r="A14" s="67">
        <v>3001</v>
      </c>
      <c r="B14" s="60" t="s">
        <v>23</v>
      </c>
      <c r="C14" s="68"/>
      <c r="D14" s="69"/>
      <c r="E14" s="70"/>
      <c r="F14" s="71"/>
      <c r="G14" s="71">
        <v>2004</v>
      </c>
      <c r="H14" s="72">
        <v>151.66999999999999</v>
      </c>
      <c r="O14" s="18"/>
      <c r="P14" s="18"/>
      <c r="Q14" s="13"/>
    </row>
    <row r="15" spans="1:17" ht="20.100000000000001" customHeight="1" x14ac:dyDescent="0.25">
      <c r="A15" s="67">
        <v>3005</v>
      </c>
      <c r="B15" s="60" t="s">
        <v>31</v>
      </c>
      <c r="C15" s="68"/>
      <c r="D15" s="69"/>
      <c r="E15" s="70"/>
      <c r="F15" s="71"/>
      <c r="G15" s="71">
        <v>2004</v>
      </c>
      <c r="H15" s="72">
        <v>151.66999999999999</v>
      </c>
      <c r="O15" s="18"/>
      <c r="P15" s="18"/>
      <c r="Q15" s="13"/>
    </row>
    <row r="16" spans="1:17" ht="20.100000000000001" customHeight="1" x14ac:dyDescent="0.25">
      <c r="A16" s="67">
        <v>3005</v>
      </c>
      <c r="B16" s="60" t="s">
        <v>31</v>
      </c>
      <c r="C16" s="68"/>
      <c r="D16" s="69"/>
      <c r="E16" s="70"/>
      <c r="F16" s="71"/>
      <c r="G16" s="71">
        <v>2005</v>
      </c>
      <c r="H16" s="72">
        <v>151.66999999999999</v>
      </c>
      <c r="O16" s="18"/>
      <c r="P16" s="18"/>
      <c r="Q16" s="13"/>
    </row>
    <row r="17" spans="1:17" ht="20.100000000000001" customHeight="1" x14ac:dyDescent="0.25">
      <c r="A17" s="67">
        <v>3001</v>
      </c>
      <c r="B17" s="60" t="s">
        <v>23</v>
      </c>
      <c r="C17" s="68"/>
      <c r="D17" s="69"/>
      <c r="E17" s="70"/>
      <c r="F17" s="71"/>
      <c r="G17" s="71">
        <v>2005</v>
      </c>
      <c r="H17" s="72">
        <v>151.66999999999999</v>
      </c>
      <c r="O17" s="18"/>
      <c r="P17" s="18"/>
      <c r="Q17" s="13"/>
    </row>
    <row r="18" spans="1:17" ht="20.100000000000001" customHeight="1" x14ac:dyDescent="0.25">
      <c r="A18" s="67">
        <v>3001</v>
      </c>
      <c r="B18" s="60" t="s">
        <v>23</v>
      </c>
      <c r="C18" s="68"/>
      <c r="D18" s="69"/>
      <c r="E18" s="70"/>
      <c r="F18" s="71"/>
      <c r="G18" s="71">
        <v>2007</v>
      </c>
      <c r="H18" s="72">
        <v>151.66999999999999</v>
      </c>
      <c r="O18" s="18"/>
      <c r="P18" s="18"/>
      <c r="Q18" s="13"/>
    </row>
    <row r="19" spans="1:17" ht="20.100000000000001" customHeight="1" x14ac:dyDescent="0.25">
      <c r="A19" s="67">
        <v>3005</v>
      </c>
      <c r="B19" s="60" t="s">
        <v>31</v>
      </c>
      <c r="C19" s="68"/>
      <c r="D19" s="69"/>
      <c r="E19" s="70"/>
      <c r="F19" s="71"/>
      <c r="G19" s="71">
        <v>2007</v>
      </c>
      <c r="H19" s="72">
        <v>151.66999999999999</v>
      </c>
      <c r="O19" s="18"/>
      <c r="P19" s="18"/>
      <c r="Q19" s="13"/>
    </row>
    <row r="20" spans="1:17" ht="20.100000000000001" customHeight="1" x14ac:dyDescent="0.25">
      <c r="A20" s="67">
        <v>3001</v>
      </c>
      <c r="B20" s="60" t="s">
        <v>23</v>
      </c>
      <c r="C20" s="68"/>
      <c r="D20" s="69"/>
      <c r="E20" s="70"/>
      <c r="F20" s="71"/>
      <c r="G20" s="71">
        <v>2009</v>
      </c>
      <c r="H20" s="72">
        <v>151.66999999999999</v>
      </c>
      <c r="O20" s="18"/>
      <c r="P20" s="18"/>
      <c r="Q20" s="13"/>
    </row>
    <row r="21" spans="1:17" ht="20.100000000000001" customHeight="1" x14ac:dyDescent="0.25">
      <c r="A21" s="67">
        <v>3005</v>
      </c>
      <c r="B21" s="60" t="s">
        <v>31</v>
      </c>
      <c r="C21" s="68"/>
      <c r="D21" s="69"/>
      <c r="E21" s="70"/>
      <c r="F21" s="71"/>
      <c r="G21" s="71">
        <v>2009</v>
      </c>
      <c r="H21" s="72">
        <v>151.66999999999999</v>
      </c>
      <c r="O21" s="18"/>
      <c r="P21" s="18"/>
      <c r="Q21" s="13"/>
    </row>
    <row r="22" spans="1:17" ht="20.100000000000001" customHeight="1" x14ac:dyDescent="0.25">
      <c r="A22" s="67">
        <v>3038</v>
      </c>
      <c r="B22" s="60" t="s">
        <v>41</v>
      </c>
      <c r="C22" s="68"/>
      <c r="D22" s="69"/>
      <c r="E22" s="70"/>
      <c r="F22" s="71"/>
      <c r="G22" s="71">
        <v>2009</v>
      </c>
      <c r="H22" s="72">
        <v>151.66999999999999</v>
      </c>
      <c r="O22" s="18"/>
      <c r="P22" s="18"/>
      <c r="Q22" s="13"/>
    </row>
    <row r="23" spans="1:17" ht="20.100000000000001" customHeight="1" x14ac:dyDescent="0.25">
      <c r="A23" s="67">
        <v>3005</v>
      </c>
      <c r="B23" s="60" t="s">
        <v>31</v>
      </c>
      <c r="C23" s="68"/>
      <c r="D23" s="69"/>
      <c r="E23" s="70"/>
      <c r="F23" s="71"/>
      <c r="G23" s="71">
        <v>2010</v>
      </c>
      <c r="H23" s="72">
        <v>151.66999999999999</v>
      </c>
      <c r="O23" s="18"/>
      <c r="P23" s="18"/>
      <c r="Q23" s="13"/>
    </row>
    <row r="24" spans="1:17" ht="20.100000000000001" customHeight="1" x14ac:dyDescent="0.25">
      <c r="A24" s="67">
        <v>2047</v>
      </c>
      <c r="B24" s="60" t="s">
        <v>292</v>
      </c>
      <c r="C24" s="68"/>
      <c r="D24" s="69"/>
      <c r="E24" s="70"/>
      <c r="F24" s="71"/>
      <c r="G24" s="71">
        <v>2011</v>
      </c>
      <c r="H24" s="72">
        <v>42</v>
      </c>
      <c r="O24" s="18"/>
      <c r="P24" s="18"/>
      <c r="Q24" s="13"/>
    </row>
    <row r="25" spans="1:17" ht="20.100000000000001" customHeight="1" x14ac:dyDescent="0.25">
      <c r="A25" s="67">
        <v>3001</v>
      </c>
      <c r="B25" s="60" t="s">
        <v>23</v>
      </c>
      <c r="C25" s="68"/>
      <c r="D25" s="69"/>
      <c r="E25" s="70"/>
      <c r="F25" s="71"/>
      <c r="G25" s="71">
        <v>2011</v>
      </c>
      <c r="H25" s="72">
        <v>151.66999999999999</v>
      </c>
      <c r="O25" s="18"/>
      <c r="P25" s="18"/>
      <c r="Q25" s="13"/>
    </row>
    <row r="26" spans="1:17" ht="20.100000000000001" customHeight="1" x14ac:dyDescent="0.25">
      <c r="A26" s="67">
        <v>1020</v>
      </c>
      <c r="B26" s="60" t="s">
        <v>202</v>
      </c>
      <c r="C26" s="68"/>
      <c r="D26" s="69"/>
      <c r="E26" s="70"/>
      <c r="F26" s="71"/>
      <c r="G26" s="71">
        <v>2012</v>
      </c>
      <c r="H26" s="72">
        <v>3.5</v>
      </c>
      <c r="O26" s="18"/>
      <c r="P26" s="18"/>
      <c r="Q26" s="13"/>
    </row>
    <row r="27" spans="1:17" ht="20.100000000000001" customHeight="1" x14ac:dyDescent="0.25">
      <c r="A27" s="67">
        <v>3001</v>
      </c>
      <c r="B27" s="60" t="s">
        <v>23</v>
      </c>
      <c r="C27" s="68"/>
      <c r="D27" s="69"/>
      <c r="E27" s="70"/>
      <c r="F27" s="71"/>
      <c r="G27" s="71">
        <v>2013</v>
      </c>
      <c r="H27" s="72">
        <v>151.66999999999999</v>
      </c>
      <c r="O27" s="18"/>
      <c r="P27" s="18"/>
      <c r="Q27" s="13"/>
    </row>
    <row r="28" spans="1:17" ht="20.100000000000001" customHeight="1" x14ac:dyDescent="0.25">
      <c r="A28" s="67">
        <v>1016</v>
      </c>
      <c r="B28" s="60" t="s">
        <v>207</v>
      </c>
      <c r="C28" s="68"/>
      <c r="D28" s="69"/>
      <c r="E28" s="70"/>
      <c r="F28" s="71"/>
      <c r="G28" s="71">
        <v>2013</v>
      </c>
      <c r="H28" s="72">
        <v>4.25</v>
      </c>
      <c r="O28" s="18"/>
      <c r="P28" s="18"/>
      <c r="Q28" s="13"/>
    </row>
    <row r="29" spans="1:17" ht="20.100000000000001" customHeight="1" x14ac:dyDescent="0.25">
      <c r="A29" s="67">
        <v>1004</v>
      </c>
      <c r="B29" s="60" t="s">
        <v>206</v>
      </c>
      <c r="C29" s="68"/>
      <c r="D29" s="69"/>
      <c r="E29" s="70"/>
      <c r="F29" s="71"/>
      <c r="G29" s="71">
        <v>2014</v>
      </c>
      <c r="H29" s="72">
        <v>7</v>
      </c>
      <c r="O29" s="18"/>
      <c r="P29" s="18"/>
      <c r="Q29" s="13"/>
    </row>
    <row r="30" spans="1:17" ht="20.100000000000001" customHeight="1" x14ac:dyDescent="0.25">
      <c r="A30" s="67">
        <v>3001</v>
      </c>
      <c r="B30" s="60" t="s">
        <v>23</v>
      </c>
      <c r="C30" s="68"/>
      <c r="D30" s="69"/>
      <c r="E30" s="70"/>
      <c r="F30" s="71"/>
      <c r="G30" s="71">
        <v>2015</v>
      </c>
      <c r="H30" s="72">
        <v>151.66999999999999</v>
      </c>
      <c r="O30" s="18"/>
      <c r="P30" s="18"/>
      <c r="Q30" s="13"/>
    </row>
    <row r="31" spans="1:17" ht="20.100000000000001" customHeight="1" x14ac:dyDescent="0.25">
      <c r="A31" s="67">
        <v>3005</v>
      </c>
      <c r="B31" s="60" t="s">
        <v>31</v>
      </c>
      <c r="C31" s="68"/>
      <c r="D31" s="69"/>
      <c r="E31" s="70"/>
      <c r="F31" s="71"/>
      <c r="G31" s="71">
        <v>2015</v>
      </c>
      <c r="H31" s="72">
        <v>151.66999999999999</v>
      </c>
      <c r="O31" s="18"/>
      <c r="P31" s="18"/>
      <c r="Q31" s="13"/>
    </row>
    <row r="32" spans="1:17" ht="20.100000000000001" customHeight="1" x14ac:dyDescent="0.25">
      <c r="A32" s="67">
        <v>3006</v>
      </c>
      <c r="B32" s="60" t="s">
        <v>25</v>
      </c>
      <c r="C32" s="68"/>
      <c r="D32" s="69"/>
      <c r="E32" s="70"/>
      <c r="F32" s="71"/>
      <c r="G32" s="71">
        <v>2015</v>
      </c>
      <c r="H32" s="72">
        <v>151.66999999999999</v>
      </c>
      <c r="O32" s="18"/>
      <c r="P32" s="18"/>
      <c r="Q32" s="13"/>
    </row>
    <row r="33" spans="1:17" ht="20.100000000000001" customHeight="1" x14ac:dyDescent="0.25">
      <c r="A33" s="67">
        <v>3002</v>
      </c>
      <c r="B33" s="60" t="s">
        <v>24</v>
      </c>
      <c r="C33" s="68"/>
      <c r="D33" s="69"/>
      <c r="E33" s="70"/>
      <c r="F33" s="71"/>
      <c r="G33" s="71">
        <v>2015</v>
      </c>
      <c r="H33" s="72">
        <v>151.66999999999999</v>
      </c>
      <c r="O33" s="18"/>
      <c r="P33" s="18"/>
      <c r="Q33" s="13"/>
    </row>
    <row r="34" spans="1:17" ht="20.100000000000001" customHeight="1" x14ac:dyDescent="0.25">
      <c r="A34" s="67">
        <v>1010</v>
      </c>
      <c r="B34" s="60" t="s">
        <v>222</v>
      </c>
      <c r="C34" s="68"/>
      <c r="D34" s="69"/>
      <c r="E34" s="70"/>
      <c r="F34" s="71"/>
      <c r="G34" s="71">
        <v>2015</v>
      </c>
      <c r="H34" s="72">
        <v>2</v>
      </c>
      <c r="O34" s="18"/>
      <c r="P34" s="18"/>
      <c r="Q34" s="13"/>
    </row>
    <row r="35" spans="1:17" ht="20.100000000000001" customHeight="1" x14ac:dyDescent="0.25">
      <c r="A35" s="67">
        <v>2005</v>
      </c>
      <c r="B35" s="60" t="s">
        <v>153</v>
      </c>
      <c r="C35" s="68"/>
      <c r="D35" s="69"/>
      <c r="E35" s="70"/>
      <c r="F35" s="71"/>
      <c r="G35" s="71">
        <v>2015</v>
      </c>
      <c r="H35" s="72">
        <v>2</v>
      </c>
      <c r="O35" s="18"/>
      <c r="P35" s="18"/>
      <c r="Q35" s="13"/>
    </row>
    <row r="36" spans="1:17" ht="20.100000000000001" customHeight="1" x14ac:dyDescent="0.25">
      <c r="A36" s="67">
        <v>1016</v>
      </c>
      <c r="B36" s="60" t="s">
        <v>207</v>
      </c>
      <c r="C36" s="68"/>
      <c r="D36" s="69"/>
      <c r="E36" s="70"/>
      <c r="F36" s="71"/>
      <c r="G36" s="71">
        <v>2016</v>
      </c>
      <c r="H36" s="72">
        <v>7</v>
      </c>
      <c r="O36" s="18"/>
      <c r="P36" s="18"/>
      <c r="Q36" s="13"/>
    </row>
    <row r="37" spans="1:17" ht="20.100000000000001" customHeight="1" x14ac:dyDescent="0.25">
      <c r="A37" s="67">
        <v>3002</v>
      </c>
      <c r="B37" s="60" t="s">
        <v>24</v>
      </c>
      <c r="C37" s="68"/>
      <c r="D37" s="69"/>
      <c r="E37" s="70"/>
      <c r="F37" s="71"/>
      <c r="G37" s="71">
        <v>2017</v>
      </c>
      <c r="H37" s="72">
        <v>151.66999999999999</v>
      </c>
      <c r="O37" s="18"/>
      <c r="P37" s="18"/>
      <c r="Q37" s="13"/>
    </row>
    <row r="38" spans="1:17" ht="20.100000000000001" customHeight="1" x14ac:dyDescent="0.25">
      <c r="A38" s="67">
        <v>3006</v>
      </c>
      <c r="B38" s="60" t="s">
        <v>25</v>
      </c>
      <c r="C38" s="68"/>
      <c r="D38" s="69"/>
      <c r="E38" s="70"/>
      <c r="F38" s="71"/>
      <c r="G38" s="71">
        <v>2017</v>
      </c>
      <c r="H38" s="72">
        <v>151.66999999999999</v>
      </c>
      <c r="O38" s="18"/>
      <c r="P38" s="18"/>
      <c r="Q38" s="13"/>
    </row>
    <row r="39" spans="1:17" ht="20.100000000000001" customHeight="1" x14ac:dyDescent="0.25">
      <c r="A39" s="67">
        <v>3005</v>
      </c>
      <c r="B39" s="60" t="s">
        <v>31</v>
      </c>
      <c r="C39" s="68"/>
      <c r="D39" s="69"/>
      <c r="E39" s="70"/>
      <c r="F39" s="71"/>
      <c r="G39" s="71">
        <v>2017</v>
      </c>
      <c r="H39" s="72">
        <v>151.66999999999999</v>
      </c>
      <c r="O39" s="18"/>
      <c r="P39" s="18"/>
      <c r="Q39" s="13"/>
    </row>
    <row r="40" spans="1:17" ht="20.100000000000001" customHeight="1" x14ac:dyDescent="0.25">
      <c r="A40" s="67">
        <v>3003</v>
      </c>
      <c r="B40" s="60" t="s">
        <v>162</v>
      </c>
      <c r="C40" s="68"/>
      <c r="D40" s="69"/>
      <c r="E40" s="70"/>
      <c r="F40" s="71"/>
      <c r="G40" s="71">
        <v>2017</v>
      </c>
      <c r="H40" s="72">
        <v>151.66999999999999</v>
      </c>
      <c r="O40" s="18"/>
      <c r="P40" s="18"/>
      <c r="Q40" s="13"/>
    </row>
    <row r="41" spans="1:17" ht="20.100000000000001" customHeight="1" x14ac:dyDescent="0.25">
      <c r="A41" s="67">
        <v>2007</v>
      </c>
      <c r="B41" s="60" t="s">
        <v>245</v>
      </c>
      <c r="C41" s="68"/>
      <c r="D41" s="69"/>
      <c r="E41" s="70"/>
      <c r="F41" s="71"/>
      <c r="G41" s="71">
        <v>2017</v>
      </c>
      <c r="H41" s="72">
        <v>2.5</v>
      </c>
      <c r="O41" s="18"/>
      <c r="P41" s="18"/>
      <c r="Q41" s="13"/>
    </row>
    <row r="42" spans="1:17" ht="20.100000000000001" customHeight="1" x14ac:dyDescent="0.25">
      <c r="A42" s="67">
        <v>1016</v>
      </c>
      <c r="B42" s="60" t="s">
        <v>207</v>
      </c>
      <c r="C42" s="68"/>
      <c r="D42" s="69"/>
      <c r="E42" s="70"/>
      <c r="F42" s="71"/>
      <c r="G42" s="71">
        <v>2017</v>
      </c>
      <c r="H42" s="72">
        <v>7</v>
      </c>
      <c r="O42" s="18"/>
      <c r="P42" s="18"/>
      <c r="Q42" s="13"/>
    </row>
    <row r="43" spans="1:17" ht="20.100000000000001" customHeight="1" x14ac:dyDescent="0.25">
      <c r="A43" s="67">
        <v>1010</v>
      </c>
      <c r="B43" s="60" t="s">
        <v>222</v>
      </c>
      <c r="C43" s="68"/>
      <c r="D43" s="69"/>
      <c r="E43" s="70"/>
      <c r="F43" s="71"/>
      <c r="G43" s="71">
        <v>2018</v>
      </c>
      <c r="H43" s="72">
        <v>2</v>
      </c>
      <c r="O43" s="18"/>
      <c r="P43" s="18"/>
      <c r="Q43" s="13"/>
    </row>
    <row r="44" spans="1:17" ht="20.100000000000001" customHeight="1" x14ac:dyDescent="0.25">
      <c r="A44" s="67">
        <v>1020</v>
      </c>
      <c r="B44" s="60" t="s">
        <v>202</v>
      </c>
      <c r="C44" s="68"/>
      <c r="D44" s="69"/>
      <c r="E44" s="70"/>
      <c r="F44" s="71"/>
      <c r="G44" s="71">
        <v>2018</v>
      </c>
      <c r="H44" s="72">
        <v>3.5</v>
      </c>
      <c r="O44" s="18"/>
      <c r="P44" s="18"/>
      <c r="Q44" s="13"/>
    </row>
    <row r="45" spans="1:17" ht="20.100000000000001" customHeight="1" x14ac:dyDescent="0.25">
      <c r="A45" s="67">
        <v>3006</v>
      </c>
      <c r="B45" s="60" t="s">
        <v>25</v>
      </c>
      <c r="C45" s="68"/>
      <c r="D45" s="69"/>
      <c r="E45" s="70"/>
      <c r="F45" s="71"/>
      <c r="G45" s="71">
        <v>2019</v>
      </c>
      <c r="H45" s="72">
        <v>151.66999999999999</v>
      </c>
      <c r="O45" s="18"/>
      <c r="P45" s="18"/>
      <c r="Q45" s="13"/>
    </row>
    <row r="46" spans="1:17" ht="20.100000000000001" customHeight="1" x14ac:dyDescent="0.25">
      <c r="A46" s="67">
        <v>3014</v>
      </c>
      <c r="B46" s="60" t="s">
        <v>47</v>
      </c>
      <c r="C46" s="68"/>
      <c r="D46" s="69"/>
      <c r="E46" s="70"/>
      <c r="F46" s="71"/>
      <c r="G46" s="71">
        <v>2019</v>
      </c>
      <c r="H46" s="72">
        <v>151.66999999999999</v>
      </c>
      <c r="O46" s="18"/>
      <c r="P46" s="18"/>
      <c r="Q46" s="13"/>
    </row>
    <row r="47" spans="1:17" ht="20.100000000000001" customHeight="1" x14ac:dyDescent="0.25">
      <c r="A47" s="67">
        <v>3002</v>
      </c>
      <c r="B47" s="60" t="s">
        <v>24</v>
      </c>
      <c r="C47" s="68"/>
      <c r="D47" s="69"/>
      <c r="E47" s="70"/>
      <c r="F47" s="71"/>
      <c r="G47" s="71">
        <v>2019</v>
      </c>
      <c r="H47" s="72">
        <v>151.66999999999999</v>
      </c>
      <c r="O47" s="18"/>
      <c r="P47" s="18"/>
      <c r="Q47" s="13"/>
    </row>
    <row r="48" spans="1:17" ht="20.100000000000001" customHeight="1" x14ac:dyDescent="0.25">
      <c r="A48" s="67">
        <v>3005</v>
      </c>
      <c r="B48" s="60" t="s">
        <v>31</v>
      </c>
      <c r="C48" s="68"/>
      <c r="D48" s="69"/>
      <c r="E48" s="70"/>
      <c r="F48" s="71"/>
      <c r="G48" s="71">
        <v>2019</v>
      </c>
      <c r="H48" s="72">
        <v>151.66999999999999</v>
      </c>
      <c r="O48" s="18"/>
      <c r="P48" s="18"/>
      <c r="Q48" s="13"/>
    </row>
    <row r="49" spans="1:17" ht="20.100000000000001" customHeight="1" x14ac:dyDescent="0.25">
      <c r="A49" s="67">
        <v>3001</v>
      </c>
      <c r="B49" s="60" t="s">
        <v>23</v>
      </c>
      <c r="C49" s="68"/>
      <c r="D49" s="69"/>
      <c r="E49" s="70"/>
      <c r="F49" s="71"/>
      <c r="G49" s="71">
        <v>2019</v>
      </c>
      <c r="H49" s="72">
        <v>151.66999999999999</v>
      </c>
      <c r="O49" s="18"/>
      <c r="P49" s="18"/>
      <c r="Q49" s="13"/>
    </row>
    <row r="50" spans="1:17" ht="20.100000000000001" customHeight="1" x14ac:dyDescent="0.25">
      <c r="A50" s="67">
        <v>3004</v>
      </c>
      <c r="B50" s="60" t="s">
        <v>34</v>
      </c>
      <c r="C50" s="68"/>
      <c r="D50" s="69"/>
      <c r="E50" s="70"/>
      <c r="F50" s="71"/>
      <c r="G50" s="71">
        <v>2019</v>
      </c>
      <c r="H50" s="72">
        <v>151.66999999999999</v>
      </c>
      <c r="O50" s="18"/>
      <c r="P50" s="18"/>
      <c r="Q50" s="13"/>
    </row>
    <row r="51" spans="1:17" ht="20.100000000000001" customHeight="1" x14ac:dyDescent="0.25">
      <c r="A51" s="67">
        <v>1004</v>
      </c>
      <c r="B51" s="60" t="s">
        <v>206</v>
      </c>
      <c r="C51" s="68"/>
      <c r="D51" s="69"/>
      <c r="E51" s="70"/>
      <c r="F51" s="71"/>
      <c r="G51" s="71">
        <v>2019</v>
      </c>
      <c r="H51" s="72">
        <v>7</v>
      </c>
      <c r="O51" s="18"/>
      <c r="P51" s="18"/>
      <c r="Q51" s="13"/>
    </row>
    <row r="52" spans="1:17" ht="20.100000000000001" customHeight="1" x14ac:dyDescent="0.25">
      <c r="A52" s="67">
        <v>1022</v>
      </c>
      <c r="B52" s="60" t="s">
        <v>220</v>
      </c>
      <c r="C52" s="68"/>
      <c r="D52" s="69"/>
      <c r="E52" s="70"/>
      <c r="F52" s="71"/>
      <c r="G52" s="71">
        <v>2019</v>
      </c>
      <c r="H52" s="72">
        <v>0.17</v>
      </c>
      <c r="O52" s="18"/>
      <c r="P52" s="18"/>
      <c r="Q52" s="13"/>
    </row>
    <row r="53" spans="1:17" ht="20.100000000000001" customHeight="1" x14ac:dyDescent="0.25">
      <c r="A53" s="67">
        <v>1016</v>
      </c>
      <c r="B53" s="60" t="s">
        <v>207</v>
      </c>
      <c r="C53" s="68"/>
      <c r="D53" s="69"/>
      <c r="E53" s="70"/>
      <c r="F53" s="71"/>
      <c r="G53" s="71">
        <v>2019</v>
      </c>
      <c r="H53" s="72">
        <v>7</v>
      </c>
      <c r="O53" s="18"/>
      <c r="P53" s="18"/>
      <c r="Q53" s="13"/>
    </row>
    <row r="54" spans="1:17" ht="20.100000000000001" customHeight="1" x14ac:dyDescent="0.25">
      <c r="A54" s="67">
        <v>3026</v>
      </c>
      <c r="B54" s="60" t="s">
        <v>40</v>
      </c>
      <c r="C54" s="68"/>
      <c r="D54" s="69"/>
      <c r="E54" s="70"/>
      <c r="F54" s="71"/>
      <c r="G54" s="71">
        <v>2020</v>
      </c>
      <c r="H54" s="72">
        <v>80</v>
      </c>
      <c r="O54" s="18"/>
      <c r="P54" s="18"/>
      <c r="Q54" s="13"/>
    </row>
    <row r="55" spans="1:17" ht="20.100000000000001" customHeight="1" x14ac:dyDescent="0.25">
      <c r="A55" s="67">
        <v>3027</v>
      </c>
      <c r="B55" s="60" t="s">
        <v>53</v>
      </c>
      <c r="C55" s="68"/>
      <c r="D55" s="69"/>
      <c r="E55" s="70"/>
      <c r="F55" s="71"/>
      <c r="G55" s="71">
        <v>2020</v>
      </c>
      <c r="H55" s="72">
        <v>64</v>
      </c>
      <c r="O55" s="18"/>
      <c r="P55" s="18"/>
      <c r="Q55" s="13"/>
    </row>
    <row r="56" spans="1:17" ht="20.100000000000001" customHeight="1" x14ac:dyDescent="0.25">
      <c r="A56" s="67">
        <v>3027</v>
      </c>
      <c r="B56" s="60" t="s">
        <v>53</v>
      </c>
      <c r="C56" s="68"/>
      <c r="D56" s="69"/>
      <c r="E56" s="70"/>
      <c r="F56" s="71"/>
      <c r="G56" s="71">
        <v>2020</v>
      </c>
      <c r="H56" s="72">
        <v>16</v>
      </c>
      <c r="O56" s="18"/>
      <c r="P56" s="18"/>
      <c r="Q56" s="13"/>
    </row>
    <row r="57" spans="1:17" ht="20.100000000000001" customHeight="1" x14ac:dyDescent="0.25">
      <c r="A57" s="67">
        <v>1004</v>
      </c>
      <c r="B57" s="60" t="s">
        <v>206</v>
      </c>
      <c r="C57" s="68"/>
      <c r="D57" s="69"/>
      <c r="E57" s="70"/>
      <c r="F57" s="71"/>
      <c r="G57" s="71">
        <v>2021</v>
      </c>
      <c r="H57" s="72">
        <v>7</v>
      </c>
      <c r="O57" s="18"/>
      <c r="P57" s="18"/>
      <c r="Q57" s="13"/>
    </row>
    <row r="58" spans="1:17" ht="20.100000000000001" customHeight="1" x14ac:dyDescent="0.25">
      <c r="A58" s="67">
        <v>3002</v>
      </c>
      <c r="B58" s="60" t="s">
        <v>24</v>
      </c>
      <c r="C58" s="68"/>
      <c r="D58" s="69"/>
      <c r="E58" s="70"/>
      <c r="F58" s="71"/>
      <c r="G58" s="71">
        <v>2021</v>
      </c>
      <c r="H58" s="72">
        <v>151.66999999999999</v>
      </c>
      <c r="O58" s="18"/>
      <c r="P58" s="18"/>
      <c r="Q58" s="13"/>
    </row>
    <row r="59" spans="1:17" ht="20.100000000000001" customHeight="1" x14ac:dyDescent="0.25">
      <c r="A59" s="67">
        <v>1016</v>
      </c>
      <c r="B59" s="60" t="s">
        <v>207</v>
      </c>
      <c r="C59" s="68"/>
      <c r="D59" s="69"/>
      <c r="E59" s="70"/>
      <c r="F59" s="71"/>
      <c r="G59" s="71">
        <v>2021</v>
      </c>
      <c r="H59" s="72">
        <v>7</v>
      </c>
      <c r="O59" s="18"/>
      <c r="P59" s="18"/>
      <c r="Q59" s="13"/>
    </row>
    <row r="60" spans="1:17" ht="20.100000000000001" customHeight="1" x14ac:dyDescent="0.25">
      <c r="A60" s="67">
        <v>3015</v>
      </c>
      <c r="B60" s="60" t="s">
        <v>49</v>
      </c>
      <c r="C60" s="68"/>
      <c r="D60" s="69"/>
      <c r="E60" s="70"/>
      <c r="F60" s="71"/>
      <c r="G60" s="71">
        <v>2021</v>
      </c>
      <c r="H60" s="72">
        <v>151.66999999999999</v>
      </c>
      <c r="O60" s="18"/>
      <c r="P60" s="18"/>
      <c r="Q60" s="13"/>
    </row>
    <row r="61" spans="1:17" ht="20.100000000000001" customHeight="1" x14ac:dyDescent="0.25">
      <c r="A61" s="67"/>
      <c r="B61" s="60"/>
      <c r="C61" s="68"/>
      <c r="D61" s="69"/>
      <c r="E61" s="70"/>
      <c r="F61" s="71"/>
      <c r="G61" s="71"/>
      <c r="H61" s="72"/>
      <c r="O61" s="18"/>
      <c r="P61" s="18"/>
      <c r="Q61" s="13"/>
    </row>
    <row r="62" spans="1:17" ht="20.100000000000001" customHeight="1" x14ac:dyDescent="0.25">
      <c r="A62" s="67"/>
      <c r="B62" s="60"/>
      <c r="C62" s="68"/>
      <c r="D62" s="69"/>
      <c r="E62" s="70"/>
      <c r="F62" s="71"/>
      <c r="G62" s="71"/>
      <c r="H62" s="72"/>
      <c r="O62" s="18"/>
      <c r="P62" s="18"/>
      <c r="Q62" s="13"/>
    </row>
    <row r="63" spans="1:17" ht="20.100000000000001" customHeight="1" x14ac:dyDescent="0.25">
      <c r="A63" s="67"/>
      <c r="B63" s="60"/>
      <c r="C63" s="68"/>
      <c r="D63" s="69"/>
      <c r="E63" s="70"/>
      <c r="F63" s="71"/>
      <c r="G63" s="71"/>
      <c r="H63" s="72"/>
      <c r="O63" s="18"/>
      <c r="P63" s="18"/>
      <c r="Q63" s="13"/>
    </row>
    <row r="64" spans="1:17" ht="20.100000000000001" customHeight="1" x14ac:dyDescent="0.25">
      <c r="A64" s="67"/>
      <c r="B64" s="60"/>
      <c r="C64" s="68"/>
      <c r="D64" s="69"/>
      <c r="E64" s="70"/>
      <c r="F64" s="71"/>
      <c r="G64" s="71"/>
      <c r="H64" s="72"/>
      <c r="O64" s="18"/>
      <c r="P64" s="18"/>
      <c r="Q64" s="13"/>
    </row>
    <row r="65" spans="1:17" ht="20.100000000000001" customHeight="1" x14ac:dyDescent="0.25">
      <c r="A65" s="67"/>
      <c r="B65" s="60"/>
      <c r="C65" s="68"/>
      <c r="D65" s="69"/>
      <c r="E65" s="70"/>
      <c r="F65" s="71"/>
      <c r="G65" s="71"/>
      <c r="H65" s="72"/>
      <c r="O65" s="18"/>
      <c r="P65" s="18"/>
      <c r="Q65" s="13"/>
    </row>
    <row r="66" spans="1:17" ht="20.100000000000001" customHeight="1" x14ac:dyDescent="0.25">
      <c r="A66" s="67"/>
      <c r="B66" s="60"/>
      <c r="C66" s="68"/>
      <c r="D66" s="69"/>
      <c r="E66" s="70"/>
      <c r="F66" s="71"/>
      <c r="G66" s="71"/>
      <c r="H66" s="72"/>
      <c r="O66" s="18"/>
      <c r="P66" s="18"/>
      <c r="Q66" s="13"/>
    </row>
    <row r="67" spans="1:17" ht="20.100000000000001" customHeight="1" x14ac:dyDescent="0.25">
      <c r="A67" s="67"/>
      <c r="B67" s="60"/>
      <c r="C67" s="68"/>
      <c r="D67" s="69"/>
      <c r="E67" s="70"/>
      <c r="F67" s="71"/>
      <c r="G67" s="71"/>
      <c r="H67" s="72"/>
      <c r="O67" s="18"/>
      <c r="P67" s="18"/>
      <c r="Q67" s="13"/>
    </row>
    <row r="68" spans="1:17" ht="20.100000000000001" customHeight="1" x14ac:dyDescent="0.25">
      <c r="A68" s="67"/>
      <c r="B68" s="60"/>
      <c r="C68" s="68"/>
      <c r="D68" s="69"/>
      <c r="E68" s="70"/>
      <c r="F68" s="71"/>
      <c r="G68" s="71"/>
      <c r="H68" s="72"/>
      <c r="O68" s="18"/>
      <c r="P68" s="18"/>
      <c r="Q68" s="13"/>
    </row>
    <row r="69" spans="1:17" ht="20.100000000000001" customHeight="1" x14ac:dyDescent="0.25">
      <c r="A69" s="67"/>
      <c r="B69" s="60"/>
      <c r="C69" s="68"/>
      <c r="D69" s="69"/>
      <c r="E69" s="70"/>
      <c r="F69" s="71"/>
      <c r="G69" s="71"/>
      <c r="H69" s="72"/>
      <c r="O69" s="18"/>
      <c r="P69" s="18"/>
      <c r="Q69" s="13"/>
    </row>
    <row r="70" spans="1:17" ht="20.100000000000001" customHeight="1" x14ac:dyDescent="0.25">
      <c r="A70" s="67"/>
      <c r="B70" s="60"/>
      <c r="C70" s="68"/>
      <c r="D70" s="69"/>
      <c r="E70" s="70"/>
      <c r="F70" s="71"/>
      <c r="G70" s="71"/>
      <c r="H70" s="72"/>
      <c r="O70" s="18"/>
      <c r="P70" s="18"/>
      <c r="Q70" s="13"/>
    </row>
    <row r="71" spans="1:17" ht="20.100000000000001" customHeight="1" x14ac:dyDescent="0.25">
      <c r="A71" s="67"/>
      <c r="B71" s="60"/>
      <c r="C71" s="68"/>
      <c r="D71" s="69"/>
      <c r="E71" s="70"/>
      <c r="F71" s="71"/>
      <c r="G71" s="71"/>
      <c r="H71" s="72"/>
      <c r="O71" s="18"/>
      <c r="P71" s="18"/>
      <c r="Q71" s="13"/>
    </row>
    <row r="72" spans="1:17" ht="20.100000000000001" customHeight="1" x14ac:dyDescent="0.25">
      <c r="A72" s="67"/>
      <c r="B72" s="60"/>
      <c r="C72" s="68"/>
      <c r="D72" s="69"/>
      <c r="E72" s="70"/>
      <c r="F72" s="71"/>
      <c r="G72" s="71"/>
      <c r="H72" s="72"/>
      <c r="O72" s="18"/>
      <c r="P72" s="18"/>
      <c r="Q72" s="13"/>
    </row>
    <row r="73" spans="1:17" ht="20.100000000000001" customHeight="1" x14ac:dyDescent="0.25">
      <c r="A73" s="67"/>
      <c r="B73" s="60"/>
      <c r="C73" s="68"/>
      <c r="D73" s="69"/>
      <c r="E73" s="70"/>
      <c r="F73" s="71"/>
      <c r="G73" s="71"/>
      <c r="H73" s="72"/>
      <c r="O73" s="18"/>
      <c r="P73" s="18"/>
      <c r="Q73" s="13"/>
    </row>
    <row r="74" spans="1:17" ht="20.100000000000001" customHeight="1" x14ac:dyDescent="0.25">
      <c r="A74" s="67"/>
      <c r="B74" s="60"/>
      <c r="C74" s="68"/>
      <c r="D74" s="69"/>
      <c r="E74" s="70"/>
      <c r="F74" s="71"/>
      <c r="G74" s="71"/>
      <c r="H74" s="72"/>
      <c r="O74" s="18"/>
      <c r="P74" s="18"/>
      <c r="Q74" s="13"/>
    </row>
    <row r="75" spans="1:17" ht="20.100000000000001" customHeight="1" x14ac:dyDescent="0.25">
      <c r="A75" s="67"/>
      <c r="B75" s="60"/>
      <c r="C75" s="68"/>
      <c r="D75" s="69"/>
      <c r="E75" s="70"/>
      <c r="F75" s="71"/>
      <c r="G75" s="71"/>
      <c r="H75" s="72"/>
      <c r="O75" s="18"/>
      <c r="P75" s="18"/>
      <c r="Q75" s="13"/>
    </row>
    <row r="76" spans="1:17" ht="20.100000000000001" customHeight="1" x14ac:dyDescent="0.25">
      <c r="A76" s="36"/>
      <c r="B76" s="59"/>
      <c r="C76" s="37"/>
      <c r="D76" s="42"/>
      <c r="E76" s="46"/>
      <c r="F76" s="38"/>
      <c r="G76" s="38"/>
      <c r="H76" s="39"/>
      <c r="O76" s="18"/>
      <c r="P76" s="18"/>
      <c r="Q76" s="13"/>
    </row>
    <row r="77" spans="1:17" ht="20.100000000000001" customHeight="1" x14ac:dyDescent="0.25">
      <c r="A77" s="36"/>
      <c r="B77" s="59"/>
      <c r="C77" s="37"/>
      <c r="D77" s="42"/>
      <c r="E77" s="46"/>
      <c r="F77" s="38"/>
      <c r="G77" s="38"/>
      <c r="H77" s="39"/>
      <c r="O77" s="18"/>
      <c r="P77" s="18"/>
      <c r="Q77" s="13"/>
    </row>
    <row r="78" spans="1:17" ht="20.100000000000001" customHeight="1" x14ac:dyDescent="0.25">
      <c r="A78" s="36"/>
      <c r="B78" s="59"/>
      <c r="C78" s="37"/>
      <c r="D78" s="42"/>
      <c r="E78" s="46"/>
      <c r="F78" s="38"/>
      <c r="G78" s="38"/>
      <c r="H78" s="39"/>
      <c r="O78" s="18"/>
      <c r="P78" s="18"/>
      <c r="Q78" s="13"/>
    </row>
    <row r="79" spans="1:17" ht="20.100000000000001" customHeight="1" x14ac:dyDescent="0.25">
      <c r="A79" s="36"/>
      <c r="B79" s="59"/>
      <c r="C79" s="37"/>
      <c r="D79" s="42"/>
      <c r="E79" s="46"/>
      <c r="F79" s="38"/>
      <c r="G79" s="38"/>
      <c r="H79" s="39"/>
      <c r="O79" s="18"/>
      <c r="P79" s="18"/>
      <c r="Q79" s="13"/>
    </row>
    <row r="80" spans="1:17" ht="20.100000000000001" customHeight="1" x14ac:dyDescent="0.25">
      <c r="A80" s="36"/>
      <c r="B80" s="59"/>
      <c r="C80" s="37"/>
      <c r="D80" s="42"/>
      <c r="E80" s="46"/>
      <c r="F80" s="38"/>
      <c r="G80" s="38"/>
      <c r="H80" s="39"/>
      <c r="O80" s="18"/>
      <c r="P80" s="18"/>
      <c r="Q80" s="13"/>
    </row>
    <row r="81" spans="1:17" ht="20.100000000000001" customHeight="1" x14ac:dyDescent="0.25">
      <c r="A81" s="36"/>
      <c r="B81" s="59"/>
      <c r="C81" s="37"/>
      <c r="D81" s="42"/>
      <c r="E81" s="46"/>
      <c r="F81" s="38"/>
      <c r="G81" s="38"/>
      <c r="H81" s="39"/>
      <c r="O81" s="18"/>
      <c r="P81" s="18"/>
      <c r="Q81" s="13"/>
    </row>
    <row r="82" spans="1:17" ht="20.100000000000001" customHeight="1" x14ac:dyDescent="0.25">
      <c r="A82" s="36"/>
      <c r="B82" s="59"/>
      <c r="C82" s="37"/>
      <c r="D82" s="42"/>
      <c r="E82" s="46"/>
      <c r="F82" s="38"/>
      <c r="G82" s="38"/>
      <c r="H82" s="39"/>
      <c r="O82" s="18"/>
      <c r="P82" s="18"/>
      <c r="Q82" s="13"/>
    </row>
    <row r="83" spans="1:17" ht="20.100000000000001" customHeight="1" x14ac:dyDescent="0.25">
      <c r="A83" s="36"/>
      <c r="B83" s="59"/>
      <c r="C83" s="37"/>
      <c r="D83" s="42"/>
      <c r="E83" s="46"/>
      <c r="F83" s="38"/>
      <c r="G83" s="38"/>
      <c r="H83" s="39"/>
      <c r="O83" s="18"/>
      <c r="P83" s="18"/>
      <c r="Q83" s="13"/>
    </row>
    <row r="84" spans="1:17" ht="20.100000000000001" customHeight="1" x14ac:dyDescent="0.25">
      <c r="A84" s="36"/>
      <c r="B84" s="59"/>
      <c r="C84" s="37"/>
      <c r="D84" s="42"/>
      <c r="E84" s="46"/>
      <c r="F84" s="38"/>
      <c r="G84" s="38"/>
      <c r="H84" s="39"/>
      <c r="O84" s="18"/>
      <c r="P84" s="18"/>
      <c r="Q84" s="13"/>
    </row>
    <row r="85" spans="1:17" ht="20.100000000000001" customHeight="1" x14ac:dyDescent="0.25">
      <c r="A85" s="36"/>
      <c r="B85" s="59"/>
      <c r="C85" s="37"/>
      <c r="D85" s="42"/>
      <c r="E85" s="46"/>
      <c r="F85" s="38"/>
      <c r="G85" s="38"/>
      <c r="H85" s="39"/>
      <c r="O85" s="18"/>
      <c r="P85" s="18"/>
      <c r="Q85" s="13"/>
    </row>
    <row r="86" spans="1:17" ht="20.100000000000001" customHeight="1" x14ac:dyDescent="0.25">
      <c r="A86" s="36"/>
      <c r="B86" s="59"/>
      <c r="C86" s="37"/>
      <c r="D86" s="42"/>
      <c r="E86" s="46"/>
      <c r="F86" s="38"/>
      <c r="G86" s="38"/>
      <c r="H86" s="39"/>
      <c r="O86" s="18"/>
      <c r="P86" s="18"/>
      <c r="Q86" s="13"/>
    </row>
    <row r="87" spans="1:17" ht="20.100000000000001" customHeight="1" x14ac:dyDescent="0.25">
      <c r="A87" s="36"/>
      <c r="B87" s="59"/>
      <c r="C87" s="37"/>
      <c r="D87" s="42"/>
      <c r="E87" s="46"/>
      <c r="F87" s="38"/>
      <c r="G87" s="38"/>
      <c r="H87" s="39"/>
      <c r="O87" s="18"/>
      <c r="P87" s="18"/>
      <c r="Q87" s="13"/>
    </row>
    <row r="88" spans="1:17" ht="20.100000000000001" customHeight="1" x14ac:dyDescent="0.25">
      <c r="A88" s="36"/>
      <c r="B88" s="59"/>
      <c r="C88" s="37"/>
      <c r="D88" s="42"/>
      <c r="E88" s="46"/>
      <c r="F88" s="38"/>
      <c r="G88" s="38"/>
      <c r="H88" s="39"/>
      <c r="O88" s="18"/>
      <c r="P88" s="18"/>
      <c r="Q88" s="13"/>
    </row>
    <row r="89" spans="1:17" ht="20.100000000000001" customHeight="1" x14ac:dyDescent="0.25">
      <c r="A89" s="36"/>
      <c r="B89" s="59"/>
      <c r="C89" s="37"/>
      <c r="D89" s="42"/>
      <c r="E89" s="46"/>
      <c r="F89" s="38"/>
      <c r="G89" s="38"/>
      <c r="H89" s="39"/>
      <c r="O89" s="18"/>
      <c r="P89" s="18"/>
      <c r="Q89" s="13"/>
    </row>
    <row r="90" spans="1:17" ht="20.100000000000001" customHeight="1" x14ac:dyDescent="0.25">
      <c r="A90" s="36"/>
      <c r="B90" s="59"/>
      <c r="C90" s="37"/>
      <c r="D90" s="42"/>
      <c r="E90" s="46"/>
      <c r="F90" s="38"/>
      <c r="G90" s="38"/>
      <c r="H90" s="39"/>
      <c r="O90" s="18"/>
      <c r="P90" s="18"/>
      <c r="Q90" s="13"/>
    </row>
    <row r="91" spans="1:17" ht="15.75" thickBot="1" x14ac:dyDescent="0.3">
      <c r="A91" s="30"/>
      <c r="B91" s="27"/>
      <c r="C91" s="28"/>
      <c r="D91" s="31"/>
      <c r="E91" s="47"/>
      <c r="F91" s="57"/>
      <c r="G91" s="57"/>
      <c r="H91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3"/>
  <sheetViews>
    <sheetView workbookViewId="0">
      <selection activeCell="B34" sqref="B34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17" ht="18.75" x14ac:dyDescent="0.3">
      <c r="A1" s="20" t="s">
        <v>250</v>
      </c>
      <c r="B1" s="58">
        <v>44722</v>
      </c>
      <c r="D1" s="19"/>
      <c r="E1" s="19"/>
      <c r="F1" s="55"/>
    </row>
    <row r="2" spans="1:17" ht="18.75" x14ac:dyDescent="0.3">
      <c r="A2" s="19"/>
      <c r="B2" s="24"/>
      <c r="D2" s="19"/>
      <c r="E2" s="19"/>
      <c r="F2" s="55"/>
    </row>
    <row r="3" spans="1:17" ht="18.75" x14ac:dyDescent="0.3">
      <c r="A3" s="20" t="s">
        <v>251</v>
      </c>
      <c r="C3" s="25">
        <v>421</v>
      </c>
      <c r="D3" s="19"/>
      <c r="E3" s="19"/>
      <c r="F3" s="55"/>
    </row>
    <row r="4" spans="1:17" ht="18.75" x14ac:dyDescent="0.3">
      <c r="A4" s="19"/>
      <c r="B4" s="24"/>
      <c r="D4" s="19"/>
      <c r="E4" s="19"/>
      <c r="F4" s="55"/>
    </row>
    <row r="5" spans="1:17" ht="18.75" x14ac:dyDescent="0.3">
      <c r="A5" s="20" t="s">
        <v>256</v>
      </c>
      <c r="C5" s="26" t="s">
        <v>297</v>
      </c>
      <c r="D5" s="19"/>
      <c r="E5" s="19"/>
      <c r="F5" s="55"/>
    </row>
    <row r="6" spans="1:17" ht="39.75" customHeight="1" x14ac:dyDescent="0.3">
      <c r="A6" s="20" t="s">
        <v>252</v>
      </c>
      <c r="C6" s="23">
        <v>33162</v>
      </c>
      <c r="D6" s="20" t="s">
        <v>253</v>
      </c>
      <c r="E6" s="49">
        <f>(B1-C6)/365</f>
        <v>31.671232876712327</v>
      </c>
      <c r="F6" s="48"/>
    </row>
    <row r="7" spans="1:17" ht="26.25" customHeight="1" x14ac:dyDescent="0.3">
      <c r="A7" s="20" t="s">
        <v>254</v>
      </c>
      <c r="C7" s="23">
        <v>44207</v>
      </c>
      <c r="D7" s="20" t="s">
        <v>255</v>
      </c>
      <c r="E7" s="49">
        <f>(B1-C7)/365</f>
        <v>1.4109589041095891</v>
      </c>
      <c r="F7" s="48"/>
    </row>
    <row r="8" spans="1:17" x14ac:dyDescent="0.25">
      <c r="B8"/>
    </row>
    <row r="9" spans="1:17" x14ac:dyDescent="0.25">
      <c r="B9"/>
    </row>
    <row r="10" spans="1:17" ht="18.75" x14ac:dyDescent="0.3">
      <c r="A10" s="20" t="s">
        <v>257</v>
      </c>
      <c r="B10"/>
    </row>
    <row r="11" spans="1:17" ht="15.75" thickBot="1" x14ac:dyDescent="0.3"/>
    <row r="12" spans="1:17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17" ht="20.100000000000001" customHeight="1" x14ac:dyDescent="0.25">
      <c r="A13" s="67">
        <v>3014</v>
      </c>
      <c r="B13" s="60" t="s">
        <v>47</v>
      </c>
      <c r="C13" s="68"/>
      <c r="D13" s="69"/>
      <c r="E13" s="70"/>
      <c r="F13" s="71"/>
      <c r="G13" s="71">
        <v>2021</v>
      </c>
      <c r="H13" s="72">
        <v>151.66999999999999</v>
      </c>
      <c r="O13" s="18"/>
      <c r="P13" s="18"/>
      <c r="Q13" s="13"/>
    </row>
    <row r="14" spans="1:17" ht="20.100000000000001" customHeight="1" x14ac:dyDescent="0.25">
      <c r="A14" s="67">
        <v>1004</v>
      </c>
      <c r="B14" s="60" t="s">
        <v>206</v>
      </c>
      <c r="C14" s="68"/>
      <c r="D14" s="69"/>
      <c r="E14" s="70"/>
      <c r="F14" s="71"/>
      <c r="G14" s="71">
        <v>2021</v>
      </c>
      <c r="H14" s="72">
        <v>7</v>
      </c>
      <c r="O14" s="18"/>
      <c r="P14" s="18"/>
      <c r="Q14" s="13"/>
    </row>
    <row r="15" spans="1:17" ht="20.100000000000001" customHeight="1" x14ac:dyDescent="0.25">
      <c r="A15" s="67">
        <v>3024</v>
      </c>
      <c r="B15" s="60" t="s">
        <v>46</v>
      </c>
      <c r="C15" s="68"/>
      <c r="D15" s="69"/>
      <c r="E15" s="70"/>
      <c r="F15" s="71"/>
      <c r="G15" s="71">
        <v>2021</v>
      </c>
      <c r="H15" s="72">
        <v>105</v>
      </c>
      <c r="O15" s="18"/>
      <c r="P15" s="18"/>
      <c r="Q15" s="13"/>
    </row>
    <row r="16" spans="1:17" ht="20.100000000000001" customHeight="1" x14ac:dyDescent="0.25">
      <c r="A16" s="67">
        <v>3018</v>
      </c>
      <c r="B16" s="60" t="s">
        <v>37</v>
      </c>
      <c r="C16" s="68"/>
      <c r="D16" s="69"/>
      <c r="E16" s="70"/>
      <c r="F16" s="71"/>
      <c r="G16" s="71">
        <v>2021</v>
      </c>
      <c r="H16" s="72">
        <v>151.66999999999999</v>
      </c>
      <c r="O16" s="18"/>
      <c r="P16" s="18"/>
      <c r="Q16" s="13"/>
    </row>
    <row r="17" spans="1:17" ht="20.100000000000001" customHeight="1" x14ac:dyDescent="0.25">
      <c r="A17" s="67">
        <v>3039</v>
      </c>
      <c r="B17" s="60" t="s">
        <v>28</v>
      </c>
      <c r="C17" s="68"/>
      <c r="D17" s="69"/>
      <c r="E17" s="70"/>
      <c r="F17" s="71"/>
      <c r="G17" s="71">
        <v>2021</v>
      </c>
      <c r="H17" s="72">
        <v>79</v>
      </c>
      <c r="O17" s="18"/>
      <c r="P17" s="18"/>
      <c r="Q17" s="13"/>
    </row>
    <row r="18" spans="1:17" ht="20.100000000000001" customHeight="1" x14ac:dyDescent="0.25">
      <c r="A18" s="67">
        <v>3015</v>
      </c>
      <c r="B18" s="60" t="s">
        <v>49</v>
      </c>
      <c r="C18" s="68"/>
      <c r="D18" s="69"/>
      <c r="E18" s="70"/>
      <c r="F18" s="71"/>
      <c r="G18" s="71">
        <v>2021</v>
      </c>
      <c r="H18" s="72">
        <v>151.66999999999999</v>
      </c>
      <c r="O18" s="18"/>
      <c r="P18" s="18"/>
      <c r="Q18" s="13"/>
    </row>
    <row r="19" spans="1:17" ht="20.100000000000001" customHeight="1" x14ac:dyDescent="0.25">
      <c r="A19" s="67">
        <v>3024</v>
      </c>
      <c r="B19" s="60" t="s">
        <v>46</v>
      </c>
      <c r="C19" s="68"/>
      <c r="D19" s="69"/>
      <c r="E19" s="70"/>
      <c r="F19" s="71"/>
      <c r="G19" s="71">
        <v>2021</v>
      </c>
      <c r="H19" s="72">
        <v>151.66999999999999</v>
      </c>
      <c r="O19" s="18"/>
      <c r="P19" s="18"/>
      <c r="Q19" s="13"/>
    </row>
    <row r="20" spans="1:17" ht="20.100000000000001" customHeight="1" x14ac:dyDescent="0.25">
      <c r="A20" s="67">
        <v>3026</v>
      </c>
      <c r="B20" s="60" t="s">
        <v>40</v>
      </c>
      <c r="C20" s="68"/>
      <c r="D20" s="69"/>
      <c r="E20" s="70"/>
      <c r="F20" s="71"/>
      <c r="G20" s="71">
        <v>2021</v>
      </c>
      <c r="H20" s="72">
        <v>151.66999999999999</v>
      </c>
      <c r="O20" s="18"/>
      <c r="P20" s="18"/>
      <c r="Q20" s="13"/>
    </row>
    <row r="21" spans="1:17" ht="20.100000000000001" customHeight="1" x14ac:dyDescent="0.25">
      <c r="A21" s="67">
        <v>3039</v>
      </c>
      <c r="B21" s="60" t="s">
        <v>28</v>
      </c>
      <c r="C21" s="68"/>
      <c r="D21" s="69"/>
      <c r="E21" s="70"/>
      <c r="F21" s="71"/>
      <c r="G21" s="71">
        <v>2021</v>
      </c>
      <c r="H21" s="72">
        <v>151.66999999999999</v>
      </c>
      <c r="O21" s="18"/>
      <c r="P21" s="18"/>
      <c r="Q21" s="13"/>
    </row>
    <row r="22" spans="1:17" ht="20.100000000000001" customHeight="1" x14ac:dyDescent="0.25">
      <c r="A22" s="67"/>
      <c r="B22" s="60"/>
      <c r="C22" s="68"/>
      <c r="D22" s="69"/>
      <c r="E22" s="70"/>
      <c r="F22" s="71"/>
      <c r="G22" s="71"/>
      <c r="H22" s="72"/>
      <c r="O22" s="18"/>
      <c r="P22" s="18"/>
      <c r="Q22" s="13"/>
    </row>
    <row r="23" spans="1:17" ht="20.100000000000001" customHeight="1" x14ac:dyDescent="0.25">
      <c r="A23" s="67"/>
      <c r="B23" s="60"/>
      <c r="C23" s="68"/>
      <c r="D23" s="69"/>
      <c r="E23" s="70"/>
      <c r="F23" s="71"/>
      <c r="G23" s="71"/>
      <c r="H23" s="72"/>
      <c r="O23" s="18"/>
      <c r="P23" s="18"/>
      <c r="Q23" s="13"/>
    </row>
    <row r="24" spans="1:17" ht="20.100000000000001" customHeight="1" x14ac:dyDescent="0.25">
      <c r="A24" s="67"/>
      <c r="B24" s="60"/>
      <c r="C24" s="68"/>
      <c r="D24" s="69"/>
      <c r="E24" s="70"/>
      <c r="F24" s="71"/>
      <c r="G24" s="71"/>
      <c r="H24" s="72"/>
      <c r="O24" s="18"/>
      <c r="P24" s="18"/>
      <c r="Q24" s="13"/>
    </row>
    <row r="25" spans="1:17" ht="20.100000000000001" customHeight="1" x14ac:dyDescent="0.25">
      <c r="A25" s="67"/>
      <c r="B25" s="60"/>
      <c r="C25" s="68"/>
      <c r="D25" s="69"/>
      <c r="E25" s="70"/>
      <c r="F25" s="71"/>
      <c r="G25" s="71"/>
      <c r="H25" s="72"/>
      <c r="O25" s="18"/>
      <c r="P25" s="18"/>
      <c r="Q25" s="13"/>
    </row>
    <row r="26" spans="1:17" ht="20.100000000000001" customHeight="1" x14ac:dyDescent="0.25">
      <c r="A26" s="67"/>
      <c r="B26" s="60"/>
      <c r="C26" s="68"/>
      <c r="D26" s="69"/>
      <c r="E26" s="70"/>
      <c r="F26" s="71"/>
      <c r="G26" s="71"/>
      <c r="H26" s="72"/>
      <c r="O26" s="18"/>
      <c r="P26" s="18"/>
      <c r="Q26" s="13"/>
    </row>
    <row r="27" spans="1:17" ht="20.100000000000001" customHeight="1" x14ac:dyDescent="0.25">
      <c r="A27" s="67"/>
      <c r="B27" s="60"/>
      <c r="C27" s="68"/>
      <c r="D27" s="69"/>
      <c r="E27" s="70"/>
      <c r="F27" s="71"/>
      <c r="G27" s="71"/>
      <c r="H27" s="72"/>
      <c r="O27" s="18"/>
      <c r="P27" s="18"/>
      <c r="Q27" s="13"/>
    </row>
    <row r="28" spans="1:17" ht="20.100000000000001" customHeight="1" x14ac:dyDescent="0.25">
      <c r="A28" s="67"/>
      <c r="B28" s="60"/>
      <c r="C28" s="68"/>
      <c r="D28" s="69"/>
      <c r="E28" s="70"/>
      <c r="F28" s="71"/>
      <c r="G28" s="71"/>
      <c r="H28" s="72"/>
      <c r="O28" s="18"/>
      <c r="P28" s="18"/>
      <c r="Q28" s="13"/>
    </row>
    <row r="29" spans="1:17" ht="20.100000000000001" customHeight="1" x14ac:dyDescent="0.25">
      <c r="A29" s="67"/>
      <c r="B29" s="60"/>
      <c r="C29" s="68"/>
      <c r="D29" s="69"/>
      <c r="E29" s="70"/>
      <c r="F29" s="71"/>
      <c r="G29" s="71"/>
      <c r="H29" s="72"/>
      <c r="O29" s="18"/>
      <c r="P29" s="18"/>
      <c r="Q29" s="13"/>
    </row>
    <row r="30" spans="1:17" ht="20.100000000000001" customHeight="1" x14ac:dyDescent="0.25">
      <c r="A30" s="67"/>
      <c r="B30" s="60"/>
      <c r="C30" s="68"/>
      <c r="D30" s="69"/>
      <c r="E30" s="70"/>
      <c r="F30" s="71"/>
      <c r="G30" s="71"/>
      <c r="H30" s="72"/>
      <c r="O30" s="18"/>
      <c r="P30" s="18"/>
      <c r="Q30" s="13"/>
    </row>
    <row r="31" spans="1:17" ht="20.100000000000001" customHeight="1" x14ac:dyDescent="0.25">
      <c r="A31" s="67"/>
      <c r="B31" s="60"/>
      <c r="C31" s="68"/>
      <c r="D31" s="69"/>
      <c r="E31" s="70"/>
      <c r="F31" s="71"/>
      <c r="G31" s="71"/>
      <c r="H31" s="72"/>
      <c r="O31" s="18"/>
      <c r="P31" s="18"/>
      <c r="Q31" s="13"/>
    </row>
    <row r="32" spans="1:17" ht="20.100000000000001" customHeight="1" x14ac:dyDescent="0.25">
      <c r="A32" s="67"/>
      <c r="B32" s="60"/>
      <c r="C32" s="68"/>
      <c r="D32" s="69"/>
      <c r="E32" s="70"/>
      <c r="F32" s="71"/>
      <c r="G32" s="71"/>
      <c r="H32" s="72"/>
      <c r="O32" s="18"/>
      <c r="P32" s="18"/>
      <c r="Q32" s="13"/>
    </row>
    <row r="33" spans="1:17" ht="20.100000000000001" customHeight="1" x14ac:dyDescent="0.25">
      <c r="A33" s="67"/>
      <c r="B33" s="60"/>
      <c r="C33" s="68"/>
      <c r="D33" s="69"/>
      <c r="E33" s="70"/>
      <c r="F33" s="71"/>
      <c r="G33" s="71"/>
      <c r="H33" s="72"/>
      <c r="O33" s="18"/>
      <c r="P33" s="18"/>
      <c r="Q33" s="13"/>
    </row>
    <row r="34" spans="1:17" ht="20.100000000000001" customHeight="1" x14ac:dyDescent="0.25">
      <c r="A34" s="67"/>
      <c r="B34" s="60"/>
      <c r="C34" s="68"/>
      <c r="D34" s="69"/>
      <c r="E34" s="70"/>
      <c r="F34" s="71"/>
      <c r="G34" s="71"/>
      <c r="H34" s="72"/>
      <c r="O34" s="18"/>
      <c r="P34" s="18"/>
      <c r="Q34" s="13"/>
    </row>
    <row r="35" spans="1:17" ht="20.100000000000001" customHeight="1" x14ac:dyDescent="0.25">
      <c r="A35" s="67"/>
      <c r="B35" s="60"/>
      <c r="C35" s="68"/>
      <c r="D35" s="69"/>
      <c r="E35" s="70"/>
      <c r="F35" s="71"/>
      <c r="G35" s="71"/>
      <c r="H35" s="72"/>
      <c r="O35" s="18"/>
      <c r="P35" s="18"/>
      <c r="Q35" s="13"/>
    </row>
    <row r="36" spans="1:17" ht="20.100000000000001" customHeight="1" x14ac:dyDescent="0.25">
      <c r="A36" s="67"/>
      <c r="B36" s="60"/>
      <c r="C36" s="68"/>
      <c r="D36" s="69"/>
      <c r="E36" s="70"/>
      <c r="F36" s="71"/>
      <c r="G36" s="71"/>
      <c r="H36" s="72"/>
      <c r="O36" s="18"/>
      <c r="P36" s="18"/>
      <c r="Q36" s="13"/>
    </row>
    <row r="37" spans="1:17" ht="20.100000000000001" customHeight="1" x14ac:dyDescent="0.25">
      <c r="A37" s="67"/>
      <c r="B37" s="60"/>
      <c r="C37" s="68"/>
      <c r="D37" s="69"/>
      <c r="E37" s="70"/>
      <c r="F37" s="71"/>
      <c r="G37" s="71"/>
      <c r="H37" s="72"/>
      <c r="O37" s="18"/>
      <c r="P37" s="18"/>
      <c r="Q37" s="13"/>
    </row>
    <row r="38" spans="1:17" ht="20.100000000000001" customHeight="1" x14ac:dyDescent="0.25">
      <c r="A38" s="36"/>
      <c r="B38" s="59"/>
      <c r="C38" s="37"/>
      <c r="D38" s="42"/>
      <c r="E38" s="46"/>
      <c r="F38" s="38"/>
      <c r="G38" s="38"/>
      <c r="H38" s="39"/>
      <c r="O38" s="18"/>
      <c r="P38" s="18"/>
      <c r="Q38" s="13"/>
    </row>
    <row r="39" spans="1:17" ht="20.100000000000001" customHeight="1" x14ac:dyDescent="0.25">
      <c r="A39" s="36"/>
      <c r="B39" s="59"/>
      <c r="C39" s="37"/>
      <c r="D39" s="42"/>
      <c r="E39" s="46"/>
      <c r="F39" s="38"/>
      <c r="G39" s="38"/>
      <c r="H39" s="39"/>
      <c r="O39" s="18"/>
      <c r="P39" s="18"/>
      <c r="Q39" s="13"/>
    </row>
    <row r="40" spans="1:17" ht="20.100000000000001" customHeight="1" x14ac:dyDescent="0.25">
      <c r="A40" s="36"/>
      <c r="B40" s="59"/>
      <c r="C40" s="37"/>
      <c r="D40" s="42"/>
      <c r="E40" s="46"/>
      <c r="F40" s="38"/>
      <c r="G40" s="38"/>
      <c r="H40" s="39"/>
      <c r="O40" s="18"/>
      <c r="P40" s="18"/>
      <c r="Q40" s="13"/>
    </row>
    <row r="41" spans="1:17" ht="20.100000000000001" customHeight="1" x14ac:dyDescent="0.25">
      <c r="A41" s="36"/>
      <c r="B41" s="59"/>
      <c r="C41" s="37"/>
      <c r="D41" s="42"/>
      <c r="E41" s="46"/>
      <c r="F41" s="38"/>
      <c r="G41" s="38"/>
      <c r="H41" s="39"/>
      <c r="O41" s="18"/>
      <c r="P41" s="18"/>
      <c r="Q41" s="13"/>
    </row>
    <row r="42" spans="1:17" ht="20.100000000000001" customHeight="1" x14ac:dyDescent="0.25">
      <c r="A42" s="36"/>
      <c r="B42" s="59"/>
      <c r="C42" s="37"/>
      <c r="D42" s="42"/>
      <c r="E42" s="46"/>
      <c r="F42" s="38"/>
      <c r="G42" s="38"/>
      <c r="H42" s="39"/>
      <c r="O42" s="18"/>
      <c r="P42" s="18"/>
      <c r="Q42" s="13"/>
    </row>
    <row r="43" spans="1:17" ht="20.100000000000001" customHeight="1" x14ac:dyDescent="0.25">
      <c r="A43" s="36"/>
      <c r="B43" s="59"/>
      <c r="C43" s="37"/>
      <c r="D43" s="42"/>
      <c r="E43" s="46"/>
      <c r="F43" s="38"/>
      <c r="G43" s="38"/>
      <c r="H43" s="39"/>
      <c r="O43" s="18"/>
      <c r="P43" s="18"/>
      <c r="Q43" s="13"/>
    </row>
    <row r="44" spans="1:17" ht="20.100000000000001" customHeight="1" x14ac:dyDescent="0.25">
      <c r="A44" s="36"/>
      <c r="B44" s="59"/>
      <c r="C44" s="37"/>
      <c r="D44" s="42"/>
      <c r="E44" s="46"/>
      <c r="F44" s="38"/>
      <c r="G44" s="38"/>
      <c r="H44" s="39"/>
      <c r="O44" s="18"/>
      <c r="P44" s="18"/>
      <c r="Q44" s="13"/>
    </row>
    <row r="45" spans="1:17" ht="20.100000000000001" customHeight="1" x14ac:dyDescent="0.25">
      <c r="A45" s="36"/>
      <c r="B45" s="59"/>
      <c r="C45" s="37"/>
      <c r="D45" s="42"/>
      <c r="E45" s="46"/>
      <c r="F45" s="38"/>
      <c r="G45" s="38"/>
      <c r="H45" s="39"/>
      <c r="O45" s="18"/>
      <c r="P45" s="18"/>
      <c r="Q45" s="13"/>
    </row>
    <row r="46" spans="1:17" ht="20.100000000000001" customHeight="1" x14ac:dyDescent="0.25">
      <c r="A46" s="36"/>
      <c r="B46" s="59"/>
      <c r="C46" s="37"/>
      <c r="D46" s="42"/>
      <c r="E46" s="46"/>
      <c r="F46" s="38"/>
      <c r="G46" s="38"/>
      <c r="H46" s="39"/>
      <c r="O46" s="18"/>
      <c r="P46" s="18"/>
      <c r="Q46" s="13"/>
    </row>
    <row r="47" spans="1:17" ht="20.100000000000001" customHeight="1" x14ac:dyDescent="0.25">
      <c r="A47" s="36"/>
      <c r="B47" s="59"/>
      <c r="C47" s="37"/>
      <c r="D47" s="42"/>
      <c r="E47" s="46"/>
      <c r="F47" s="38"/>
      <c r="G47" s="38"/>
      <c r="H47" s="39"/>
      <c r="O47" s="18"/>
      <c r="P47" s="18"/>
      <c r="Q47" s="13"/>
    </row>
    <row r="48" spans="1:17" ht="20.100000000000001" customHeight="1" x14ac:dyDescent="0.25">
      <c r="A48" s="36"/>
      <c r="B48" s="59"/>
      <c r="C48" s="37"/>
      <c r="D48" s="42"/>
      <c r="E48" s="46"/>
      <c r="F48" s="38"/>
      <c r="G48" s="38"/>
      <c r="H48" s="39"/>
      <c r="O48" s="18"/>
      <c r="P48" s="18"/>
      <c r="Q48" s="13"/>
    </row>
    <row r="49" spans="1:17" ht="20.100000000000001" customHeight="1" x14ac:dyDescent="0.25">
      <c r="A49" s="36"/>
      <c r="B49" s="59"/>
      <c r="C49" s="37"/>
      <c r="D49" s="42"/>
      <c r="E49" s="46"/>
      <c r="F49" s="38"/>
      <c r="G49" s="38"/>
      <c r="H49" s="39"/>
      <c r="O49" s="18"/>
      <c r="P49" s="18"/>
      <c r="Q49" s="13"/>
    </row>
    <row r="50" spans="1:17" ht="20.100000000000001" customHeight="1" x14ac:dyDescent="0.25">
      <c r="A50" s="36"/>
      <c r="B50" s="59"/>
      <c r="C50" s="37"/>
      <c r="D50" s="42"/>
      <c r="E50" s="46"/>
      <c r="F50" s="38"/>
      <c r="G50" s="38"/>
      <c r="H50" s="39"/>
      <c r="O50" s="18"/>
      <c r="P50" s="18"/>
      <c r="Q50" s="13"/>
    </row>
    <row r="51" spans="1:17" ht="20.100000000000001" customHeight="1" x14ac:dyDescent="0.25">
      <c r="A51" s="36"/>
      <c r="B51" s="59"/>
      <c r="C51" s="37"/>
      <c r="D51" s="42"/>
      <c r="E51" s="46"/>
      <c r="F51" s="38"/>
      <c r="G51" s="38"/>
      <c r="H51" s="39"/>
      <c r="O51" s="18"/>
      <c r="P51" s="18"/>
      <c r="Q51" s="13"/>
    </row>
    <row r="52" spans="1:17" ht="20.100000000000001" customHeight="1" x14ac:dyDescent="0.25">
      <c r="A52" s="36"/>
      <c r="B52" s="59"/>
      <c r="C52" s="37"/>
      <c r="D52" s="42"/>
      <c r="E52" s="46"/>
      <c r="F52" s="38"/>
      <c r="G52" s="38"/>
      <c r="H52" s="39"/>
      <c r="O52" s="18"/>
      <c r="P52" s="18"/>
      <c r="Q52" s="13"/>
    </row>
    <row r="53" spans="1:17" ht="15.75" thickBot="1" x14ac:dyDescent="0.3">
      <c r="A53" s="30"/>
      <c r="B53" s="27"/>
      <c r="C53" s="28"/>
      <c r="D53" s="31"/>
      <c r="E53" s="47"/>
      <c r="F53" s="57"/>
      <c r="G53" s="57"/>
      <c r="H53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3"/>
  <sheetViews>
    <sheetView topLeftCell="A10" workbookViewId="0">
      <selection activeCell="A21" sqref="A21:B21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17" ht="18.75" x14ac:dyDescent="0.3">
      <c r="A1" s="20" t="s">
        <v>250</v>
      </c>
      <c r="B1" s="58">
        <v>44227</v>
      </c>
      <c r="D1" s="19"/>
      <c r="E1" s="19"/>
      <c r="F1" s="55"/>
    </row>
    <row r="2" spans="1:17" ht="18.75" x14ac:dyDescent="0.3">
      <c r="A2" s="19"/>
      <c r="B2" s="24"/>
      <c r="D2" s="19"/>
      <c r="E2" s="19"/>
      <c r="F2" s="55"/>
    </row>
    <row r="3" spans="1:17" ht="18.75" x14ac:dyDescent="0.3">
      <c r="A3" s="20" t="s">
        <v>251</v>
      </c>
      <c r="C3" s="25">
        <v>36</v>
      </c>
      <c r="D3" s="19"/>
      <c r="E3" s="19"/>
      <c r="F3" s="55"/>
    </row>
    <row r="4" spans="1:17" ht="18.75" x14ac:dyDescent="0.3">
      <c r="A4" s="19"/>
      <c r="B4" s="24"/>
      <c r="D4" s="19"/>
      <c r="E4" s="19"/>
      <c r="F4" s="55"/>
    </row>
    <row r="5" spans="1:17" ht="18.75" x14ac:dyDescent="0.3">
      <c r="A5" s="20" t="s">
        <v>256</v>
      </c>
      <c r="C5" s="26" t="s">
        <v>296</v>
      </c>
      <c r="D5" s="19"/>
      <c r="E5" s="19"/>
      <c r="F5" s="55"/>
    </row>
    <row r="6" spans="1:17" ht="39.75" customHeight="1" x14ac:dyDescent="0.3">
      <c r="A6" s="20" t="s">
        <v>252</v>
      </c>
      <c r="C6" s="23">
        <v>22418</v>
      </c>
      <c r="D6" s="20" t="s">
        <v>253</v>
      </c>
      <c r="E6" s="49">
        <f>(B1-C6)/365</f>
        <v>59.750684931506846</v>
      </c>
      <c r="F6" s="48"/>
    </row>
    <row r="7" spans="1:17" ht="26.25" customHeight="1" x14ac:dyDescent="0.3">
      <c r="A7" s="20" t="s">
        <v>254</v>
      </c>
      <c r="C7" s="23">
        <v>34620</v>
      </c>
      <c r="D7" s="20" t="s">
        <v>255</v>
      </c>
      <c r="E7" s="49">
        <f>(B1-C7)/365</f>
        <v>26.32054794520548</v>
      </c>
      <c r="F7" s="48"/>
    </row>
    <row r="8" spans="1:17" x14ac:dyDescent="0.25">
      <c r="B8"/>
    </row>
    <row r="9" spans="1:17" x14ac:dyDescent="0.25">
      <c r="B9"/>
    </row>
    <row r="10" spans="1:17" ht="18.75" x14ac:dyDescent="0.3">
      <c r="A10" s="20" t="s">
        <v>257</v>
      </c>
      <c r="B10"/>
    </row>
    <row r="11" spans="1:17" ht="15.75" thickBot="1" x14ac:dyDescent="0.3"/>
    <row r="12" spans="1:17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17" ht="20.100000000000001" customHeight="1" x14ac:dyDescent="0.25">
      <c r="A13" s="32">
        <v>3012</v>
      </c>
      <c r="B13" s="60" t="s">
        <v>38</v>
      </c>
      <c r="C13" s="33"/>
      <c r="D13" s="44"/>
      <c r="E13" s="45"/>
      <c r="F13" s="34"/>
      <c r="G13" s="34">
        <v>1996</v>
      </c>
      <c r="H13" s="35">
        <v>151.66999999999999</v>
      </c>
      <c r="O13" s="18"/>
      <c r="P13" s="18"/>
      <c r="Q13" s="13"/>
    </row>
    <row r="14" spans="1:17" ht="20.100000000000001" customHeight="1" x14ac:dyDescent="0.25">
      <c r="A14" s="67">
        <v>3019</v>
      </c>
      <c r="B14" s="60" t="s">
        <v>216</v>
      </c>
      <c r="C14" s="68"/>
      <c r="D14" s="69"/>
      <c r="E14" s="70"/>
      <c r="F14" s="71"/>
      <c r="G14" s="71">
        <v>1997</v>
      </c>
      <c r="H14" s="72">
        <v>151.66999999999999</v>
      </c>
      <c r="O14" s="18"/>
      <c r="P14" s="18"/>
      <c r="Q14" s="13"/>
    </row>
    <row r="15" spans="1:17" ht="20.100000000000001" customHeight="1" x14ac:dyDescent="0.25">
      <c r="A15" s="67">
        <v>3036</v>
      </c>
      <c r="B15" s="60" t="s">
        <v>160</v>
      </c>
      <c r="C15" s="68"/>
      <c r="D15" s="69"/>
      <c r="E15" s="70"/>
      <c r="F15" s="71"/>
      <c r="G15" s="71">
        <v>1998</v>
      </c>
      <c r="H15" s="72">
        <v>151.66999999999999</v>
      </c>
      <c r="O15" s="18"/>
      <c r="P15" s="18"/>
      <c r="Q15" s="13"/>
    </row>
    <row r="16" spans="1:17" ht="20.100000000000001" customHeight="1" x14ac:dyDescent="0.25">
      <c r="A16" s="67">
        <v>3039</v>
      </c>
      <c r="B16" s="60" t="s">
        <v>28</v>
      </c>
      <c r="C16" s="68"/>
      <c r="D16" s="69"/>
      <c r="E16" s="70"/>
      <c r="F16" s="71"/>
      <c r="G16" s="71">
        <v>2003</v>
      </c>
      <c r="H16" s="72">
        <v>151.66999999999999</v>
      </c>
      <c r="O16" s="18"/>
      <c r="P16" s="18"/>
      <c r="Q16" s="13"/>
    </row>
    <row r="17" spans="1:17" ht="20.100000000000001" customHeight="1" x14ac:dyDescent="0.25">
      <c r="A17" s="67">
        <v>3039</v>
      </c>
      <c r="B17" s="60" t="s">
        <v>28</v>
      </c>
      <c r="C17" s="68"/>
      <c r="D17" s="69"/>
      <c r="E17" s="70"/>
      <c r="F17" s="71"/>
      <c r="G17" s="71">
        <v>2004</v>
      </c>
      <c r="H17" s="72">
        <v>151.66999999999999</v>
      </c>
      <c r="O17" s="18"/>
      <c r="P17" s="18"/>
      <c r="Q17" s="13"/>
    </row>
    <row r="18" spans="1:17" ht="20.100000000000001" customHeight="1" x14ac:dyDescent="0.25">
      <c r="A18" s="67">
        <v>3039</v>
      </c>
      <c r="B18" s="60" t="s">
        <v>28</v>
      </c>
      <c r="C18" s="68"/>
      <c r="D18" s="69"/>
      <c r="E18" s="70"/>
      <c r="F18" s="71"/>
      <c r="G18" s="71">
        <v>2005</v>
      </c>
      <c r="H18" s="72">
        <v>151.66999999999999</v>
      </c>
      <c r="O18" s="18"/>
      <c r="P18" s="18"/>
      <c r="Q18" s="13"/>
    </row>
    <row r="19" spans="1:17" ht="20.100000000000001" customHeight="1" x14ac:dyDescent="0.25">
      <c r="A19" s="67">
        <v>3039</v>
      </c>
      <c r="B19" s="60" t="s">
        <v>28</v>
      </c>
      <c r="C19" s="68"/>
      <c r="D19" s="69"/>
      <c r="E19" s="70"/>
      <c r="F19" s="71"/>
      <c r="G19" s="71">
        <v>2007</v>
      </c>
      <c r="H19" s="72">
        <v>151.66999999999999</v>
      </c>
      <c r="O19" s="18"/>
      <c r="P19" s="18"/>
      <c r="Q19" s="13"/>
    </row>
    <row r="20" spans="1:17" ht="20.100000000000001" customHeight="1" x14ac:dyDescent="0.25">
      <c r="A20" s="67">
        <v>3039</v>
      </c>
      <c r="B20" s="60" t="s">
        <v>28</v>
      </c>
      <c r="C20" s="68"/>
      <c r="D20" s="69"/>
      <c r="E20" s="70"/>
      <c r="F20" s="71"/>
      <c r="G20" s="71">
        <v>2009</v>
      </c>
      <c r="H20" s="72">
        <v>151.66999999999999</v>
      </c>
      <c r="O20" s="18"/>
      <c r="P20" s="18"/>
      <c r="Q20" s="13"/>
    </row>
    <row r="21" spans="1:17" ht="20.100000000000001" customHeight="1" x14ac:dyDescent="0.25">
      <c r="A21" s="67">
        <v>2047</v>
      </c>
      <c r="B21" s="60" t="s">
        <v>292</v>
      </c>
      <c r="C21" s="68"/>
      <c r="D21" s="69"/>
      <c r="E21" s="70"/>
      <c r="F21" s="71"/>
      <c r="G21" s="71">
        <v>2011</v>
      </c>
      <c r="H21" s="72">
        <v>42</v>
      </c>
      <c r="O21" s="18"/>
      <c r="P21" s="18"/>
      <c r="Q21" s="13"/>
    </row>
    <row r="22" spans="1:17" ht="20.100000000000001" customHeight="1" x14ac:dyDescent="0.25">
      <c r="A22" s="67">
        <v>3039</v>
      </c>
      <c r="B22" s="60" t="s">
        <v>28</v>
      </c>
      <c r="C22" s="68"/>
      <c r="D22" s="69"/>
      <c r="E22" s="70"/>
      <c r="F22" s="71"/>
      <c r="G22" s="71">
        <v>2011</v>
      </c>
      <c r="H22" s="72">
        <v>151.66999999999999</v>
      </c>
      <c r="O22" s="18"/>
      <c r="P22" s="18"/>
      <c r="Q22" s="13"/>
    </row>
    <row r="23" spans="1:17" ht="20.100000000000001" customHeight="1" x14ac:dyDescent="0.25">
      <c r="A23" s="67">
        <v>3039</v>
      </c>
      <c r="B23" s="60" t="s">
        <v>28</v>
      </c>
      <c r="C23" s="68"/>
      <c r="D23" s="69"/>
      <c r="E23" s="70"/>
      <c r="F23" s="71"/>
      <c r="G23" s="71">
        <v>2013</v>
      </c>
      <c r="H23" s="72">
        <v>151.66999999999999</v>
      </c>
      <c r="O23" s="18"/>
      <c r="P23" s="18"/>
      <c r="Q23" s="13"/>
    </row>
    <row r="24" spans="1:17" ht="20.100000000000001" customHeight="1" x14ac:dyDescent="0.25">
      <c r="A24" s="67">
        <v>3002</v>
      </c>
      <c r="B24" s="60" t="s">
        <v>24</v>
      </c>
      <c r="C24" s="68"/>
      <c r="D24" s="69"/>
      <c r="E24" s="70"/>
      <c r="F24" s="71"/>
      <c r="G24" s="71">
        <v>2013</v>
      </c>
      <c r="H24" s="72">
        <v>151.66999999999999</v>
      </c>
      <c r="O24" s="18"/>
      <c r="P24" s="18"/>
      <c r="Q24" s="13"/>
    </row>
    <row r="25" spans="1:17" ht="20.100000000000001" customHeight="1" x14ac:dyDescent="0.25">
      <c r="A25" s="67">
        <v>3039</v>
      </c>
      <c r="B25" s="60" t="s">
        <v>28</v>
      </c>
      <c r="C25" s="68"/>
      <c r="D25" s="69"/>
      <c r="E25" s="70"/>
      <c r="F25" s="71"/>
      <c r="G25" s="71">
        <v>2015</v>
      </c>
      <c r="H25" s="72">
        <v>151.66999999999999</v>
      </c>
      <c r="O25" s="18"/>
      <c r="P25" s="18"/>
      <c r="Q25" s="13"/>
    </row>
    <row r="26" spans="1:17" ht="20.100000000000001" customHeight="1" x14ac:dyDescent="0.25">
      <c r="A26" s="67">
        <v>3002</v>
      </c>
      <c r="B26" s="60" t="s">
        <v>24</v>
      </c>
      <c r="C26" s="68"/>
      <c r="D26" s="69"/>
      <c r="E26" s="70"/>
      <c r="F26" s="71"/>
      <c r="G26" s="71">
        <v>2015</v>
      </c>
      <c r="H26" s="72">
        <v>151.66999999999999</v>
      </c>
      <c r="O26" s="18"/>
      <c r="P26" s="18"/>
      <c r="Q26" s="13"/>
    </row>
    <row r="27" spans="1:17" ht="20.100000000000001" customHeight="1" x14ac:dyDescent="0.25">
      <c r="A27" s="67">
        <v>2005</v>
      </c>
      <c r="B27" s="60" t="s">
        <v>153</v>
      </c>
      <c r="C27" s="68"/>
      <c r="D27" s="69"/>
      <c r="E27" s="70"/>
      <c r="F27" s="71"/>
      <c r="G27" s="71">
        <v>2015</v>
      </c>
      <c r="H27" s="72">
        <v>2</v>
      </c>
      <c r="O27" s="18"/>
      <c r="P27" s="18"/>
      <c r="Q27" s="13"/>
    </row>
    <row r="28" spans="1:17" ht="20.100000000000001" customHeight="1" x14ac:dyDescent="0.25">
      <c r="A28" s="67">
        <v>1010</v>
      </c>
      <c r="B28" s="60" t="s">
        <v>222</v>
      </c>
      <c r="C28" s="68"/>
      <c r="D28" s="69"/>
      <c r="E28" s="70"/>
      <c r="F28" s="71"/>
      <c r="G28" s="71">
        <v>2015</v>
      </c>
      <c r="H28" s="72">
        <v>2</v>
      </c>
      <c r="O28" s="18"/>
      <c r="P28" s="18"/>
      <c r="Q28" s="13"/>
    </row>
    <row r="29" spans="1:17" ht="20.100000000000001" customHeight="1" x14ac:dyDescent="0.25">
      <c r="A29" s="67">
        <v>2007</v>
      </c>
      <c r="B29" s="60" t="s">
        <v>245</v>
      </c>
      <c r="C29" s="68"/>
      <c r="D29" s="69"/>
      <c r="E29" s="70"/>
      <c r="F29" s="71"/>
      <c r="G29" s="71">
        <v>2017</v>
      </c>
      <c r="H29" s="72">
        <v>2.5</v>
      </c>
      <c r="O29" s="18"/>
      <c r="P29" s="18"/>
      <c r="Q29" s="13"/>
    </row>
    <row r="30" spans="1:17" ht="20.100000000000001" customHeight="1" x14ac:dyDescent="0.25">
      <c r="A30" s="67">
        <v>3039</v>
      </c>
      <c r="B30" s="60" t="s">
        <v>28</v>
      </c>
      <c r="C30" s="68"/>
      <c r="D30" s="69"/>
      <c r="E30" s="70"/>
      <c r="F30" s="71"/>
      <c r="G30" s="71">
        <v>2017</v>
      </c>
      <c r="H30" s="72">
        <v>151.66999999999999</v>
      </c>
      <c r="O30" s="18"/>
      <c r="P30" s="18"/>
      <c r="Q30" s="13"/>
    </row>
    <row r="31" spans="1:17" ht="20.100000000000001" customHeight="1" x14ac:dyDescent="0.25">
      <c r="A31" s="67">
        <v>3002</v>
      </c>
      <c r="B31" s="60" t="s">
        <v>24</v>
      </c>
      <c r="C31" s="68"/>
      <c r="D31" s="69"/>
      <c r="E31" s="70"/>
      <c r="F31" s="71"/>
      <c r="G31" s="71">
        <v>2017</v>
      </c>
      <c r="H31" s="72">
        <v>151.66999999999999</v>
      </c>
      <c r="O31" s="18"/>
      <c r="P31" s="18"/>
      <c r="Q31" s="13"/>
    </row>
    <row r="32" spans="1:17" ht="20.100000000000001" customHeight="1" x14ac:dyDescent="0.25">
      <c r="A32" s="67">
        <v>3006</v>
      </c>
      <c r="B32" s="60" t="s">
        <v>25</v>
      </c>
      <c r="C32" s="68"/>
      <c r="D32" s="69"/>
      <c r="E32" s="70"/>
      <c r="F32" s="71"/>
      <c r="G32" s="71">
        <v>2019</v>
      </c>
      <c r="H32" s="72">
        <v>151.66999999999999</v>
      </c>
      <c r="O32" s="18"/>
      <c r="P32" s="18"/>
      <c r="Q32" s="13"/>
    </row>
    <row r="33" spans="1:17" ht="20.100000000000001" customHeight="1" x14ac:dyDescent="0.25">
      <c r="A33" s="67">
        <v>3002</v>
      </c>
      <c r="B33" s="60" t="s">
        <v>24</v>
      </c>
      <c r="C33" s="68"/>
      <c r="D33" s="69"/>
      <c r="E33" s="70"/>
      <c r="F33" s="71"/>
      <c r="G33" s="71">
        <v>2019</v>
      </c>
      <c r="H33" s="72">
        <v>151.66999999999999</v>
      </c>
      <c r="O33" s="18"/>
      <c r="P33" s="18"/>
      <c r="Q33" s="13"/>
    </row>
    <row r="34" spans="1:17" ht="20.100000000000001" customHeight="1" x14ac:dyDescent="0.25">
      <c r="A34" s="67">
        <v>3039</v>
      </c>
      <c r="B34" s="60" t="s">
        <v>28</v>
      </c>
      <c r="C34" s="68"/>
      <c r="D34" s="69"/>
      <c r="E34" s="70"/>
      <c r="F34" s="71"/>
      <c r="G34" s="71">
        <v>2019</v>
      </c>
      <c r="H34" s="72">
        <v>151.66999999999999</v>
      </c>
      <c r="O34" s="18"/>
      <c r="P34" s="18"/>
      <c r="Q34" s="13"/>
    </row>
    <row r="35" spans="1:17" ht="20.100000000000001" customHeight="1" x14ac:dyDescent="0.25">
      <c r="A35" s="67">
        <v>1022</v>
      </c>
      <c r="B35" s="60" t="s">
        <v>220</v>
      </c>
      <c r="C35" s="68"/>
      <c r="D35" s="69"/>
      <c r="E35" s="70"/>
      <c r="F35" s="71"/>
      <c r="G35" s="71">
        <v>2019</v>
      </c>
      <c r="H35" s="72">
        <v>0.17</v>
      </c>
      <c r="O35" s="18"/>
      <c r="P35" s="18"/>
      <c r="Q35" s="13"/>
    </row>
    <row r="36" spans="1:17" ht="20.100000000000001" customHeight="1" x14ac:dyDescent="0.25">
      <c r="A36" s="36">
        <v>3026</v>
      </c>
      <c r="B36" s="59" t="s">
        <v>40</v>
      </c>
      <c r="C36" s="37"/>
      <c r="D36" s="42"/>
      <c r="E36" s="46"/>
      <c r="F36" s="38"/>
      <c r="G36" s="38">
        <v>2020</v>
      </c>
      <c r="H36" s="39">
        <v>16</v>
      </c>
      <c r="O36" s="18"/>
      <c r="P36" s="18"/>
      <c r="Q36" s="13"/>
    </row>
    <row r="37" spans="1:17" ht="20.100000000000001" customHeight="1" x14ac:dyDescent="0.25">
      <c r="A37" s="36"/>
      <c r="B37" s="59"/>
      <c r="C37" s="37"/>
      <c r="D37" s="42"/>
      <c r="E37" s="46"/>
      <c r="F37" s="38"/>
      <c r="G37" s="38"/>
      <c r="H37" s="39"/>
      <c r="O37" s="18"/>
      <c r="P37" s="18"/>
      <c r="Q37" s="13"/>
    </row>
    <row r="38" spans="1:17" ht="20.100000000000001" customHeight="1" x14ac:dyDescent="0.25">
      <c r="A38" s="36"/>
      <c r="B38" s="59"/>
      <c r="C38" s="37"/>
      <c r="D38" s="42"/>
      <c r="E38" s="46"/>
      <c r="F38" s="38"/>
      <c r="G38" s="38"/>
      <c r="H38" s="39"/>
      <c r="O38" s="18"/>
      <c r="P38" s="18"/>
      <c r="Q38" s="13"/>
    </row>
    <row r="39" spans="1:17" ht="20.100000000000001" customHeight="1" x14ac:dyDescent="0.25">
      <c r="A39" s="36"/>
      <c r="B39" s="59"/>
      <c r="C39" s="37"/>
      <c r="D39" s="42"/>
      <c r="E39" s="46"/>
      <c r="F39" s="38"/>
      <c r="G39" s="38"/>
      <c r="H39" s="39"/>
      <c r="O39" s="18"/>
      <c r="P39" s="18"/>
      <c r="Q39" s="13"/>
    </row>
    <row r="40" spans="1:17" ht="20.100000000000001" customHeight="1" x14ac:dyDescent="0.25">
      <c r="A40" s="36"/>
      <c r="B40" s="59"/>
      <c r="C40" s="37"/>
      <c r="D40" s="42"/>
      <c r="E40" s="46"/>
      <c r="F40" s="38"/>
      <c r="G40" s="38"/>
      <c r="H40" s="39"/>
      <c r="O40" s="18"/>
      <c r="P40" s="18"/>
      <c r="Q40" s="13"/>
    </row>
    <row r="41" spans="1:17" ht="20.100000000000001" customHeight="1" x14ac:dyDescent="0.25">
      <c r="A41" s="36"/>
      <c r="B41" s="59"/>
      <c r="C41" s="37"/>
      <c r="D41" s="42"/>
      <c r="E41" s="46"/>
      <c r="F41" s="38"/>
      <c r="G41" s="38"/>
      <c r="H41" s="39"/>
      <c r="O41" s="18"/>
      <c r="P41" s="18"/>
      <c r="Q41" s="13"/>
    </row>
    <row r="42" spans="1:17" ht="20.100000000000001" customHeight="1" x14ac:dyDescent="0.25">
      <c r="A42" s="36"/>
      <c r="B42" s="59"/>
      <c r="C42" s="37"/>
      <c r="D42" s="42"/>
      <c r="E42" s="46"/>
      <c r="F42" s="38"/>
      <c r="G42" s="38"/>
      <c r="H42" s="39"/>
      <c r="O42" s="18"/>
      <c r="P42" s="18"/>
      <c r="Q42" s="13"/>
    </row>
    <row r="43" spans="1:17" ht="20.100000000000001" customHeight="1" x14ac:dyDescent="0.25">
      <c r="A43" s="36"/>
      <c r="B43" s="59"/>
      <c r="C43" s="37"/>
      <c r="D43" s="42"/>
      <c r="E43" s="46"/>
      <c r="F43" s="38"/>
      <c r="G43" s="38"/>
      <c r="H43" s="39"/>
      <c r="O43" s="18"/>
      <c r="P43" s="18"/>
      <c r="Q43" s="13"/>
    </row>
    <row r="44" spans="1:17" ht="20.100000000000001" customHeight="1" x14ac:dyDescent="0.25">
      <c r="A44" s="36"/>
      <c r="B44" s="59"/>
      <c r="C44" s="37"/>
      <c r="D44" s="42"/>
      <c r="E44" s="46"/>
      <c r="F44" s="38"/>
      <c r="G44" s="38"/>
      <c r="H44" s="39"/>
      <c r="O44" s="18"/>
      <c r="P44" s="18"/>
      <c r="Q44" s="13"/>
    </row>
    <row r="45" spans="1:17" ht="20.100000000000001" customHeight="1" x14ac:dyDescent="0.25">
      <c r="A45" s="36"/>
      <c r="B45" s="59"/>
      <c r="C45" s="37"/>
      <c r="D45" s="42"/>
      <c r="E45" s="46"/>
      <c r="F45" s="38"/>
      <c r="G45" s="38"/>
      <c r="H45" s="39"/>
      <c r="O45" s="18"/>
      <c r="P45" s="18"/>
      <c r="Q45" s="13"/>
    </row>
    <row r="46" spans="1:17" ht="20.100000000000001" customHeight="1" x14ac:dyDescent="0.25">
      <c r="A46" s="36"/>
      <c r="B46" s="59"/>
      <c r="C46" s="37"/>
      <c r="D46" s="42"/>
      <c r="E46" s="46"/>
      <c r="F46" s="38"/>
      <c r="G46" s="38"/>
      <c r="H46" s="39"/>
      <c r="O46" s="18"/>
      <c r="P46" s="18"/>
      <c r="Q46" s="13"/>
    </row>
    <row r="47" spans="1:17" ht="20.100000000000001" customHeight="1" x14ac:dyDescent="0.25">
      <c r="A47" s="36"/>
      <c r="B47" s="59"/>
      <c r="C47" s="37"/>
      <c r="D47" s="42"/>
      <c r="E47" s="46"/>
      <c r="F47" s="38"/>
      <c r="G47" s="38"/>
      <c r="H47" s="39"/>
      <c r="O47" s="18"/>
      <c r="P47" s="18"/>
      <c r="Q47" s="13"/>
    </row>
    <row r="48" spans="1:17" ht="20.100000000000001" customHeight="1" x14ac:dyDescent="0.25">
      <c r="A48" s="36"/>
      <c r="B48" s="59"/>
      <c r="C48" s="37"/>
      <c r="D48" s="42"/>
      <c r="E48" s="46"/>
      <c r="F48" s="38"/>
      <c r="G48" s="38"/>
      <c r="H48" s="39"/>
      <c r="O48" s="18"/>
      <c r="P48" s="18"/>
      <c r="Q48" s="13"/>
    </row>
    <row r="49" spans="1:17" ht="20.100000000000001" customHeight="1" x14ac:dyDescent="0.25">
      <c r="A49" s="36"/>
      <c r="B49" s="59"/>
      <c r="C49" s="37"/>
      <c r="D49" s="42"/>
      <c r="E49" s="46"/>
      <c r="F49" s="38"/>
      <c r="G49" s="38"/>
      <c r="H49" s="39"/>
      <c r="O49" s="18"/>
      <c r="P49" s="18"/>
      <c r="Q49" s="13"/>
    </row>
    <row r="50" spans="1:17" ht="20.100000000000001" customHeight="1" x14ac:dyDescent="0.25">
      <c r="A50" s="36"/>
      <c r="B50" s="59"/>
      <c r="C50" s="37"/>
      <c r="D50" s="42"/>
      <c r="E50" s="46"/>
      <c r="F50" s="38"/>
      <c r="G50" s="38"/>
      <c r="H50" s="39"/>
      <c r="O50" s="18"/>
      <c r="P50" s="18"/>
      <c r="Q50" s="13"/>
    </row>
    <row r="51" spans="1:17" ht="20.100000000000001" customHeight="1" x14ac:dyDescent="0.25">
      <c r="A51" s="36"/>
      <c r="B51" s="59"/>
      <c r="C51" s="37"/>
      <c r="D51" s="42"/>
      <c r="E51" s="46"/>
      <c r="F51" s="38"/>
      <c r="G51" s="38"/>
      <c r="H51" s="39"/>
      <c r="O51" s="18"/>
      <c r="P51" s="18"/>
      <c r="Q51" s="13"/>
    </row>
    <row r="52" spans="1:17" ht="20.100000000000001" customHeight="1" x14ac:dyDescent="0.25">
      <c r="A52" s="36"/>
      <c r="B52" s="37"/>
      <c r="C52" s="37"/>
      <c r="D52" s="42"/>
      <c r="E52" s="46"/>
      <c r="F52" s="38"/>
      <c r="G52" s="38"/>
      <c r="H52" s="39"/>
      <c r="Q52" s="13"/>
    </row>
    <row r="53" spans="1:17" ht="15.75" thickBot="1" x14ac:dyDescent="0.3">
      <c r="A53" s="30"/>
      <c r="B53" s="27"/>
      <c r="C53" s="28"/>
      <c r="D53" s="31"/>
      <c r="E53" s="47"/>
      <c r="F53" s="57"/>
      <c r="G53" s="57"/>
      <c r="H53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53"/>
  <sheetViews>
    <sheetView topLeftCell="A25" workbookViewId="0">
      <selection activeCell="A40" sqref="A40:B40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17" ht="18.75" x14ac:dyDescent="0.3">
      <c r="A1" s="20" t="s">
        <v>250</v>
      </c>
      <c r="B1" s="58">
        <v>44589</v>
      </c>
      <c r="D1" s="19"/>
      <c r="E1" s="19"/>
      <c r="F1" s="55"/>
    </row>
    <row r="2" spans="1:17" ht="18.75" x14ac:dyDescent="0.3">
      <c r="A2" s="19"/>
      <c r="B2" s="24"/>
      <c r="D2" s="19"/>
      <c r="E2" s="19"/>
      <c r="F2" s="55"/>
    </row>
    <row r="3" spans="1:17" ht="18.75" x14ac:dyDescent="0.3">
      <c r="A3" s="20" t="s">
        <v>251</v>
      </c>
      <c r="C3" s="25">
        <v>327</v>
      </c>
      <c r="D3" s="19"/>
      <c r="E3" s="19"/>
      <c r="F3" s="55"/>
    </row>
    <row r="4" spans="1:17" ht="18.75" x14ac:dyDescent="0.3">
      <c r="A4" s="19"/>
      <c r="B4" s="24"/>
      <c r="D4" s="19"/>
      <c r="E4" s="19"/>
      <c r="F4" s="55"/>
    </row>
    <row r="5" spans="1:17" ht="18.75" x14ac:dyDescent="0.3">
      <c r="A5" s="20" t="s">
        <v>256</v>
      </c>
      <c r="C5" s="26" t="s">
        <v>294</v>
      </c>
      <c r="D5" s="19"/>
      <c r="E5" s="19"/>
      <c r="F5" s="55"/>
    </row>
    <row r="6" spans="1:17" ht="39.75" customHeight="1" x14ac:dyDescent="0.3">
      <c r="A6" s="20" t="s">
        <v>252</v>
      </c>
      <c r="C6" s="23">
        <v>33833</v>
      </c>
      <c r="D6" s="20" t="s">
        <v>253</v>
      </c>
      <c r="E6" s="49">
        <f>(B1-C6)/365</f>
        <v>29.468493150684932</v>
      </c>
      <c r="F6" s="48"/>
    </row>
    <row r="7" spans="1:17" ht="26.25" customHeight="1" x14ac:dyDescent="0.3">
      <c r="A7" s="20" t="s">
        <v>254</v>
      </c>
      <c r="C7" s="23">
        <v>41505</v>
      </c>
      <c r="D7" s="20" t="s">
        <v>255</v>
      </c>
      <c r="E7" s="49">
        <f>(B1-C7)/365</f>
        <v>8.4493150684931511</v>
      </c>
      <c r="F7" s="48"/>
    </row>
    <row r="8" spans="1:17" x14ac:dyDescent="0.25">
      <c r="B8"/>
    </row>
    <row r="9" spans="1:17" x14ac:dyDescent="0.25">
      <c r="B9"/>
    </row>
    <row r="10" spans="1:17" ht="18.75" x14ac:dyDescent="0.3">
      <c r="A10" s="20" t="s">
        <v>257</v>
      </c>
      <c r="B10"/>
    </row>
    <row r="11" spans="1:17" ht="15.75" thickBot="1" x14ac:dyDescent="0.3"/>
    <row r="12" spans="1:17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17" ht="20.100000000000001" customHeight="1" x14ac:dyDescent="0.25">
      <c r="A13" s="32">
        <v>3038</v>
      </c>
      <c r="B13" s="60" t="s">
        <v>41</v>
      </c>
      <c r="C13" s="33"/>
      <c r="D13" s="44"/>
      <c r="E13" s="45"/>
      <c r="F13" s="34"/>
      <c r="G13" s="34">
        <v>2013</v>
      </c>
      <c r="H13" s="35">
        <v>151.66999999999999</v>
      </c>
      <c r="O13" s="18"/>
      <c r="P13" s="18"/>
      <c r="Q13" s="13"/>
    </row>
    <row r="14" spans="1:17" ht="20.100000000000001" customHeight="1" x14ac:dyDescent="0.25">
      <c r="A14" s="67">
        <v>1004</v>
      </c>
      <c r="B14" s="60" t="s">
        <v>206</v>
      </c>
      <c r="C14" s="68"/>
      <c r="D14" s="69"/>
      <c r="E14" s="70"/>
      <c r="F14" s="71"/>
      <c r="G14" s="71">
        <v>2014</v>
      </c>
      <c r="H14" s="72">
        <v>7</v>
      </c>
      <c r="O14" s="18"/>
      <c r="P14" s="18"/>
      <c r="Q14" s="13"/>
    </row>
    <row r="15" spans="1:17" ht="20.100000000000001" customHeight="1" x14ac:dyDescent="0.25">
      <c r="A15" s="67">
        <v>1020</v>
      </c>
      <c r="B15" s="60" t="s">
        <v>202</v>
      </c>
      <c r="C15" s="68"/>
      <c r="D15" s="69"/>
      <c r="E15" s="70"/>
      <c r="F15" s="71"/>
      <c r="G15" s="71">
        <v>2014</v>
      </c>
      <c r="H15" s="72">
        <v>3.5</v>
      </c>
      <c r="O15" s="18"/>
      <c r="P15" s="18"/>
      <c r="Q15" s="13"/>
    </row>
    <row r="16" spans="1:17" ht="20.100000000000001" customHeight="1" x14ac:dyDescent="0.25">
      <c r="A16" s="36">
        <v>3038</v>
      </c>
      <c r="B16" s="59" t="s">
        <v>41</v>
      </c>
      <c r="C16" s="37"/>
      <c r="D16" s="42"/>
      <c r="E16" s="46"/>
      <c r="F16" s="38"/>
      <c r="G16" s="38">
        <v>2015</v>
      </c>
      <c r="H16" s="39">
        <v>151.66999999999999</v>
      </c>
      <c r="O16" s="18"/>
      <c r="P16" s="18"/>
      <c r="Q16" s="13"/>
    </row>
    <row r="17" spans="1:17" ht="20.100000000000001" customHeight="1" x14ac:dyDescent="0.25">
      <c r="A17" s="36">
        <v>2007</v>
      </c>
      <c r="B17" s="59" t="s">
        <v>245</v>
      </c>
      <c r="C17" s="37"/>
      <c r="D17" s="42"/>
      <c r="E17" s="46"/>
      <c r="F17" s="38"/>
      <c r="G17" s="38">
        <v>2017</v>
      </c>
      <c r="H17" s="39">
        <v>2</v>
      </c>
      <c r="O17" s="18"/>
      <c r="P17" s="18"/>
      <c r="Q17" s="13"/>
    </row>
    <row r="18" spans="1:17" ht="20.100000000000001" customHeight="1" x14ac:dyDescent="0.25">
      <c r="A18" s="36">
        <v>3038</v>
      </c>
      <c r="B18" s="59" t="s">
        <v>41</v>
      </c>
      <c r="C18" s="37"/>
      <c r="D18" s="42"/>
      <c r="E18" s="46"/>
      <c r="F18" s="38"/>
      <c r="G18" s="38">
        <v>2017</v>
      </c>
      <c r="H18" s="39">
        <v>151.66999999999999</v>
      </c>
      <c r="O18" s="18"/>
      <c r="P18" s="18"/>
      <c r="Q18" s="13"/>
    </row>
    <row r="19" spans="1:17" ht="20.100000000000001" customHeight="1" x14ac:dyDescent="0.25">
      <c r="A19" s="36">
        <v>3007</v>
      </c>
      <c r="B19" s="59" t="s">
        <v>26</v>
      </c>
      <c r="C19" s="37"/>
      <c r="D19" s="42"/>
      <c r="E19" s="46"/>
      <c r="F19" s="38"/>
      <c r="G19" s="38">
        <v>2017</v>
      </c>
      <c r="H19" s="39">
        <v>151.66999999999999</v>
      </c>
      <c r="O19" s="18"/>
      <c r="P19" s="18"/>
      <c r="Q19" s="13"/>
    </row>
    <row r="20" spans="1:17" ht="20.100000000000001" customHeight="1" x14ac:dyDescent="0.25">
      <c r="A20" s="36">
        <v>1010</v>
      </c>
      <c r="B20" s="59" t="s">
        <v>222</v>
      </c>
      <c r="C20" s="37"/>
      <c r="D20" s="42"/>
      <c r="E20" s="46"/>
      <c r="F20" s="38"/>
      <c r="G20" s="38">
        <v>2018</v>
      </c>
      <c r="H20" s="39">
        <v>2</v>
      </c>
      <c r="O20" s="18"/>
      <c r="P20" s="18"/>
      <c r="Q20" s="13"/>
    </row>
    <row r="21" spans="1:17" ht="20.100000000000001" customHeight="1" x14ac:dyDescent="0.25">
      <c r="A21" s="36">
        <v>1009</v>
      </c>
      <c r="B21" s="59" t="s">
        <v>221</v>
      </c>
      <c r="C21" s="37"/>
      <c r="D21" s="42"/>
      <c r="E21" s="46"/>
      <c r="F21" s="38"/>
      <c r="G21" s="38">
        <v>2018</v>
      </c>
      <c r="H21" s="39">
        <v>2</v>
      </c>
      <c r="O21" s="18"/>
      <c r="P21" s="18"/>
      <c r="Q21" s="13"/>
    </row>
    <row r="22" spans="1:17" ht="20.100000000000001" customHeight="1" x14ac:dyDescent="0.25">
      <c r="A22" s="36">
        <v>3006</v>
      </c>
      <c r="B22" s="59" t="s">
        <v>25</v>
      </c>
      <c r="C22" s="37"/>
      <c r="D22" s="42"/>
      <c r="E22" s="46"/>
      <c r="F22" s="38"/>
      <c r="G22" s="38">
        <v>2018</v>
      </c>
      <c r="H22" s="39">
        <v>151.66999999999999</v>
      </c>
      <c r="O22" s="18"/>
      <c r="P22" s="18"/>
      <c r="Q22" s="13"/>
    </row>
    <row r="23" spans="1:17" ht="20.100000000000001" customHeight="1" x14ac:dyDescent="0.25">
      <c r="A23" s="36">
        <v>3038</v>
      </c>
      <c r="B23" s="59" t="s">
        <v>41</v>
      </c>
      <c r="C23" s="37"/>
      <c r="D23" s="42"/>
      <c r="E23" s="46"/>
      <c r="F23" s="38"/>
      <c r="G23" s="38">
        <v>2019</v>
      </c>
      <c r="H23" s="39">
        <v>151.66999999999999</v>
      </c>
      <c r="O23" s="18"/>
      <c r="P23" s="18"/>
      <c r="Q23" s="13"/>
    </row>
    <row r="24" spans="1:17" ht="20.100000000000001" customHeight="1" x14ac:dyDescent="0.25">
      <c r="A24" s="36">
        <v>1016</v>
      </c>
      <c r="B24" s="59" t="s">
        <v>207</v>
      </c>
      <c r="C24" s="37"/>
      <c r="D24" s="42"/>
      <c r="E24" s="46"/>
      <c r="F24" s="38"/>
      <c r="G24" s="38">
        <v>2019</v>
      </c>
      <c r="H24" s="39">
        <v>14</v>
      </c>
      <c r="O24" s="18"/>
      <c r="P24" s="18"/>
      <c r="Q24" s="13"/>
    </row>
    <row r="25" spans="1:17" ht="20.100000000000001" customHeight="1" x14ac:dyDescent="0.25">
      <c r="A25" s="36">
        <v>3007</v>
      </c>
      <c r="B25" s="59" t="s">
        <v>26</v>
      </c>
      <c r="C25" s="37"/>
      <c r="D25" s="42"/>
      <c r="E25" s="46"/>
      <c r="F25" s="38"/>
      <c r="G25" s="38">
        <v>2019</v>
      </c>
      <c r="H25" s="39">
        <v>151.66999999999999</v>
      </c>
      <c r="O25" s="18"/>
      <c r="P25" s="18"/>
      <c r="Q25" s="13"/>
    </row>
    <row r="26" spans="1:17" ht="20.100000000000001" customHeight="1" x14ac:dyDescent="0.25">
      <c r="A26" s="36">
        <v>3006</v>
      </c>
      <c r="B26" s="59" t="s">
        <v>25</v>
      </c>
      <c r="C26" s="37"/>
      <c r="D26" s="42"/>
      <c r="E26" s="46"/>
      <c r="F26" s="38"/>
      <c r="G26" s="38">
        <v>2019</v>
      </c>
      <c r="H26" s="39">
        <v>151.66999999999999</v>
      </c>
      <c r="O26" s="18"/>
      <c r="P26" s="18"/>
      <c r="Q26" s="13"/>
    </row>
    <row r="27" spans="1:17" ht="20.100000000000001" customHeight="1" x14ac:dyDescent="0.25">
      <c r="A27" s="36">
        <v>1004</v>
      </c>
      <c r="B27" s="59" t="s">
        <v>206</v>
      </c>
      <c r="C27" s="37"/>
      <c r="D27" s="42"/>
      <c r="E27" s="46"/>
      <c r="F27" s="38"/>
      <c r="G27" s="38">
        <v>2019</v>
      </c>
      <c r="H27" s="39">
        <v>7</v>
      </c>
      <c r="O27" s="18"/>
      <c r="P27" s="18"/>
      <c r="Q27" s="13"/>
    </row>
    <row r="28" spans="1:17" ht="20.100000000000001" customHeight="1" x14ac:dyDescent="0.25">
      <c r="A28" s="36">
        <v>3039</v>
      </c>
      <c r="B28" s="59" t="s">
        <v>28</v>
      </c>
      <c r="C28" s="37"/>
      <c r="D28" s="42"/>
      <c r="E28" s="46"/>
      <c r="F28" s="38"/>
      <c r="G28" s="38">
        <v>2019</v>
      </c>
      <c r="H28" s="39">
        <v>151.66999999999999</v>
      </c>
      <c r="O28" s="18"/>
      <c r="P28" s="18"/>
      <c r="Q28" s="13"/>
    </row>
    <row r="29" spans="1:17" ht="20.100000000000001" customHeight="1" x14ac:dyDescent="0.25">
      <c r="A29" s="36">
        <v>3041</v>
      </c>
      <c r="B29" s="59" t="s">
        <v>36</v>
      </c>
      <c r="C29" s="37"/>
      <c r="D29" s="42"/>
      <c r="E29" s="46"/>
      <c r="F29" s="38"/>
      <c r="G29" s="38">
        <v>2019</v>
      </c>
      <c r="H29" s="39">
        <v>151.66999999999999</v>
      </c>
      <c r="O29" s="18"/>
      <c r="P29" s="18"/>
      <c r="Q29" s="13"/>
    </row>
    <row r="30" spans="1:17" ht="20.100000000000001" customHeight="1" x14ac:dyDescent="0.25">
      <c r="A30" s="36">
        <v>3042</v>
      </c>
      <c r="B30" s="59" t="s">
        <v>52</v>
      </c>
      <c r="C30" s="37"/>
      <c r="D30" s="42"/>
      <c r="E30" s="46"/>
      <c r="F30" s="38"/>
      <c r="G30" s="38">
        <v>2019</v>
      </c>
      <c r="H30" s="39">
        <v>151.66999999999999</v>
      </c>
      <c r="O30" s="18"/>
      <c r="P30" s="18"/>
      <c r="Q30" s="13"/>
    </row>
    <row r="31" spans="1:17" ht="20.100000000000001" customHeight="1" x14ac:dyDescent="0.25">
      <c r="A31" s="36">
        <v>3040</v>
      </c>
      <c r="B31" s="59" t="s">
        <v>27</v>
      </c>
      <c r="C31" s="37"/>
      <c r="D31" s="42"/>
      <c r="E31" s="46"/>
      <c r="F31" s="38"/>
      <c r="G31" s="38">
        <v>2019</v>
      </c>
      <c r="H31" s="39">
        <v>151.66999999999999</v>
      </c>
      <c r="O31" s="18"/>
      <c r="P31" s="18"/>
      <c r="Q31" s="13"/>
    </row>
    <row r="32" spans="1:17" ht="20.100000000000001" customHeight="1" x14ac:dyDescent="0.25">
      <c r="A32" s="36">
        <v>1009</v>
      </c>
      <c r="B32" s="59" t="s">
        <v>221</v>
      </c>
      <c r="C32" s="37"/>
      <c r="D32" s="42"/>
      <c r="E32" s="46"/>
      <c r="F32" s="38"/>
      <c r="G32" s="38">
        <v>2019</v>
      </c>
      <c r="H32" s="39">
        <v>2</v>
      </c>
      <c r="O32" s="18"/>
      <c r="P32" s="18"/>
      <c r="Q32" s="13"/>
    </row>
    <row r="33" spans="1:18" ht="20.100000000000001" customHeight="1" x14ac:dyDescent="0.25">
      <c r="A33" s="36">
        <v>1010</v>
      </c>
      <c r="B33" s="59" t="s">
        <v>222</v>
      </c>
      <c r="C33" s="37"/>
      <c r="D33" s="42"/>
      <c r="E33" s="46"/>
      <c r="F33" s="38"/>
      <c r="G33" s="38">
        <v>2019</v>
      </c>
      <c r="H33" s="39">
        <v>2</v>
      </c>
      <c r="O33" s="18"/>
      <c r="P33" s="18"/>
      <c r="Q33" s="13"/>
    </row>
    <row r="34" spans="1:18" ht="20.100000000000001" customHeight="1" x14ac:dyDescent="0.25">
      <c r="A34" s="36">
        <v>3043</v>
      </c>
      <c r="B34" s="59" t="s">
        <v>44</v>
      </c>
      <c r="C34" s="37"/>
      <c r="D34" s="42"/>
      <c r="E34" s="46"/>
      <c r="F34" s="38"/>
      <c r="G34" s="38">
        <v>2020</v>
      </c>
      <c r="H34" s="39">
        <v>151.66999999999999</v>
      </c>
      <c r="O34" s="18"/>
      <c r="P34" s="18"/>
      <c r="Q34" s="13"/>
    </row>
    <row r="35" spans="1:18" ht="20.100000000000001" customHeight="1" x14ac:dyDescent="0.25">
      <c r="A35" s="36">
        <v>3012</v>
      </c>
      <c r="B35" s="59" t="s">
        <v>295</v>
      </c>
      <c r="C35" s="37"/>
      <c r="D35" s="42"/>
      <c r="E35" s="46"/>
      <c r="F35" s="38"/>
      <c r="G35" s="38">
        <v>2020</v>
      </c>
      <c r="H35" s="39">
        <v>151.66999999999999</v>
      </c>
      <c r="O35" s="18"/>
      <c r="P35" s="18"/>
      <c r="Q35" s="13"/>
    </row>
    <row r="36" spans="1:18" ht="20.100000000000001" customHeight="1" x14ac:dyDescent="0.25">
      <c r="A36" s="36">
        <v>3013</v>
      </c>
      <c r="B36" s="59" t="s">
        <v>45</v>
      </c>
      <c r="C36" s="37"/>
      <c r="D36" s="42"/>
      <c r="E36" s="46"/>
      <c r="F36" s="38"/>
      <c r="G36" s="38">
        <v>2020</v>
      </c>
      <c r="H36" s="39">
        <v>64</v>
      </c>
      <c r="O36" s="18"/>
      <c r="P36" s="18"/>
      <c r="Q36" s="13"/>
    </row>
    <row r="37" spans="1:18" ht="20.100000000000001" customHeight="1" x14ac:dyDescent="0.25">
      <c r="A37" s="36">
        <v>3014</v>
      </c>
      <c r="B37" s="59" t="s">
        <v>47</v>
      </c>
      <c r="C37" s="37"/>
      <c r="D37" s="42"/>
      <c r="E37" s="46"/>
      <c r="F37" s="38"/>
      <c r="G37" s="38">
        <v>2020</v>
      </c>
      <c r="H37" s="39">
        <v>10</v>
      </c>
      <c r="O37" s="18"/>
      <c r="P37" s="18"/>
      <c r="Q37" s="13"/>
    </row>
    <row r="38" spans="1:18" ht="20.100000000000001" customHeight="1" x14ac:dyDescent="0.25">
      <c r="A38" s="36">
        <v>3028</v>
      </c>
      <c r="B38" s="59" t="s">
        <v>39</v>
      </c>
      <c r="C38" s="37"/>
      <c r="D38" s="42"/>
      <c r="E38" s="46"/>
      <c r="F38" s="38"/>
      <c r="G38" s="38">
        <v>2020</v>
      </c>
      <c r="H38" s="39">
        <v>72</v>
      </c>
      <c r="O38" s="18"/>
      <c r="P38" s="18"/>
      <c r="Q38" s="13"/>
    </row>
    <row r="39" spans="1:18" ht="20.100000000000001" customHeight="1" x14ac:dyDescent="0.25">
      <c r="A39" s="36">
        <v>3002</v>
      </c>
      <c r="B39" s="59" t="s">
        <v>24</v>
      </c>
      <c r="C39" s="37"/>
      <c r="D39" s="42"/>
      <c r="E39" s="46"/>
      <c r="F39" s="38"/>
      <c r="G39" s="38">
        <v>2020</v>
      </c>
      <c r="H39" s="39">
        <v>151.66999999999999</v>
      </c>
      <c r="O39" s="18"/>
      <c r="P39" s="18"/>
      <c r="Q39" s="13"/>
      <c r="R39" s="15"/>
    </row>
    <row r="40" spans="1:18" ht="20.100000000000001" customHeight="1" x14ac:dyDescent="0.25">
      <c r="A40" s="36">
        <v>2007</v>
      </c>
      <c r="B40" s="59" t="s">
        <v>245</v>
      </c>
      <c r="C40" s="37"/>
      <c r="D40" s="42"/>
      <c r="E40" s="46"/>
      <c r="F40" s="38"/>
      <c r="G40" s="38">
        <v>2020</v>
      </c>
      <c r="H40" s="39">
        <v>2.5</v>
      </c>
      <c r="O40" s="18"/>
      <c r="P40" s="18"/>
      <c r="Q40" s="13"/>
      <c r="R40" s="15"/>
    </row>
    <row r="41" spans="1:18" ht="20.100000000000001" customHeight="1" x14ac:dyDescent="0.25">
      <c r="A41" s="36">
        <v>3018</v>
      </c>
      <c r="B41" s="59" t="s">
        <v>37</v>
      </c>
      <c r="C41" s="37"/>
      <c r="D41" s="42"/>
      <c r="E41" s="46"/>
      <c r="F41" s="38"/>
      <c r="G41" s="38">
        <v>2021</v>
      </c>
      <c r="H41" s="39">
        <v>151.66999999999999</v>
      </c>
      <c r="Q41" s="13"/>
    </row>
    <row r="42" spans="1:18" ht="20.100000000000001" customHeight="1" x14ac:dyDescent="0.25">
      <c r="A42" s="36">
        <v>3015</v>
      </c>
      <c r="B42" s="59" t="s">
        <v>49</v>
      </c>
      <c r="C42" s="37"/>
      <c r="D42" s="42"/>
      <c r="E42" s="46"/>
      <c r="F42" s="38"/>
      <c r="G42" s="38">
        <v>2021</v>
      </c>
      <c r="H42" s="39">
        <v>151.66999999999999</v>
      </c>
      <c r="Q42" s="13"/>
    </row>
    <row r="43" spans="1:18" ht="20.100000000000001" customHeight="1" x14ac:dyDescent="0.25">
      <c r="A43" s="36">
        <v>3014</v>
      </c>
      <c r="B43" s="59" t="s">
        <v>47</v>
      </c>
      <c r="C43" s="37"/>
      <c r="D43" s="42"/>
      <c r="E43" s="46"/>
      <c r="F43" s="38"/>
      <c r="G43" s="38">
        <v>2021</v>
      </c>
      <c r="H43" s="39">
        <v>151.66999999999999</v>
      </c>
      <c r="Q43" s="13"/>
    </row>
    <row r="44" spans="1:18" ht="20.100000000000001" customHeight="1" x14ac:dyDescent="0.25">
      <c r="A44" s="36">
        <v>3028</v>
      </c>
      <c r="B44" s="59" t="s">
        <v>39</v>
      </c>
      <c r="C44" s="37"/>
      <c r="D44" s="42"/>
      <c r="E44" s="46"/>
      <c r="F44" s="38"/>
      <c r="G44" s="38">
        <v>2021</v>
      </c>
      <c r="H44" s="39">
        <v>151.66999999999999</v>
      </c>
      <c r="Q44" s="13"/>
    </row>
    <row r="45" spans="1:18" ht="20.100000000000001" customHeight="1" x14ac:dyDescent="0.25">
      <c r="A45" s="36">
        <v>3027</v>
      </c>
      <c r="B45" s="59" t="s">
        <v>53</v>
      </c>
      <c r="C45" s="37"/>
      <c r="D45" s="42"/>
      <c r="E45" s="46"/>
      <c r="F45" s="38"/>
      <c r="G45" s="38">
        <v>2021</v>
      </c>
      <c r="H45" s="39">
        <v>151.66999999999999</v>
      </c>
      <c r="Q45" s="13"/>
    </row>
    <row r="46" spans="1:18" ht="20.100000000000001" customHeight="1" x14ac:dyDescent="0.25">
      <c r="A46" s="36">
        <v>3026</v>
      </c>
      <c r="B46" s="59" t="s">
        <v>40</v>
      </c>
      <c r="C46" s="37"/>
      <c r="D46" s="42"/>
      <c r="E46" s="46"/>
      <c r="F46" s="38"/>
      <c r="G46" s="38">
        <v>2021</v>
      </c>
      <c r="H46" s="39">
        <v>151.66999999999999</v>
      </c>
      <c r="Q46" s="13"/>
    </row>
    <row r="47" spans="1:18" ht="20.100000000000001" customHeight="1" x14ac:dyDescent="0.25">
      <c r="A47" s="36">
        <v>3013</v>
      </c>
      <c r="B47" s="59" t="s">
        <v>45</v>
      </c>
      <c r="C47" s="37"/>
      <c r="D47" s="42"/>
      <c r="E47" s="46"/>
      <c r="F47" s="38"/>
      <c r="G47" s="38">
        <v>2021</v>
      </c>
      <c r="H47" s="39">
        <v>151.66999999999999</v>
      </c>
      <c r="Q47" s="13"/>
    </row>
    <row r="48" spans="1:18" ht="20.100000000000001" customHeight="1" x14ac:dyDescent="0.25">
      <c r="A48" s="36">
        <v>3024</v>
      </c>
      <c r="B48" s="59" t="s">
        <v>46</v>
      </c>
      <c r="C48" s="37"/>
      <c r="D48" s="42"/>
      <c r="E48" s="46"/>
      <c r="F48" s="38"/>
      <c r="G48" s="38">
        <v>2021</v>
      </c>
      <c r="H48" s="39">
        <v>151.66999999999999</v>
      </c>
      <c r="Q48" s="13"/>
    </row>
    <row r="49" spans="1:17" ht="20.100000000000001" customHeight="1" x14ac:dyDescent="0.25">
      <c r="A49" s="36">
        <v>3023</v>
      </c>
      <c r="B49" s="59" t="s">
        <v>54</v>
      </c>
      <c r="C49" s="37"/>
      <c r="D49" s="42"/>
      <c r="E49" s="46"/>
      <c r="F49" s="38"/>
      <c r="G49" s="38">
        <v>2021</v>
      </c>
      <c r="H49" s="39">
        <v>151.66999999999999</v>
      </c>
      <c r="Q49" s="13"/>
    </row>
    <row r="50" spans="1:17" ht="20.100000000000001" customHeight="1" x14ac:dyDescent="0.25">
      <c r="A50" s="36"/>
      <c r="B50" s="37"/>
      <c r="C50" s="37"/>
      <c r="D50" s="42"/>
      <c r="E50" s="46"/>
      <c r="F50" s="38"/>
      <c r="G50" s="38"/>
      <c r="H50" s="39"/>
      <c r="Q50" s="13"/>
    </row>
    <row r="51" spans="1:17" ht="20.100000000000001" customHeight="1" x14ac:dyDescent="0.25">
      <c r="A51" s="36"/>
      <c r="B51" s="37"/>
      <c r="C51" s="37"/>
      <c r="D51" s="42"/>
      <c r="E51" s="46"/>
      <c r="F51" s="38"/>
      <c r="G51" s="38"/>
      <c r="H51" s="39"/>
      <c r="Q51" s="13"/>
    </row>
    <row r="52" spans="1:17" ht="20.100000000000001" customHeight="1" x14ac:dyDescent="0.25">
      <c r="A52" s="36"/>
      <c r="B52" s="37"/>
      <c r="C52" s="37"/>
      <c r="D52" s="42"/>
      <c r="E52" s="46"/>
      <c r="F52" s="38"/>
      <c r="G52" s="38"/>
      <c r="H52" s="39"/>
      <c r="Q52" s="13"/>
    </row>
    <row r="53" spans="1:17" ht="15.75" thickBot="1" x14ac:dyDescent="0.3">
      <c r="A53" s="30"/>
      <c r="B53" s="27"/>
      <c r="C53" s="28"/>
      <c r="D53" s="31"/>
      <c r="E53" s="47"/>
      <c r="F53" s="57"/>
      <c r="G53" s="57"/>
      <c r="H53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53"/>
  <sheetViews>
    <sheetView workbookViewId="0">
      <selection activeCell="H18" sqref="H18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17" ht="18.75" x14ac:dyDescent="0.3">
      <c r="A1" s="20" t="s">
        <v>250</v>
      </c>
      <c r="B1" s="58">
        <v>44806</v>
      </c>
      <c r="D1" s="19"/>
      <c r="E1" s="19"/>
      <c r="F1" s="55"/>
    </row>
    <row r="2" spans="1:17" ht="18.75" x14ac:dyDescent="0.3">
      <c r="A2" s="19"/>
      <c r="B2" s="24"/>
      <c r="D2" s="19"/>
      <c r="E2" s="19"/>
      <c r="F2" s="55"/>
    </row>
    <row r="3" spans="1:17" ht="18.75" x14ac:dyDescent="0.3">
      <c r="A3" s="20" t="s">
        <v>251</v>
      </c>
      <c r="C3" s="25">
        <v>381</v>
      </c>
      <c r="D3" s="19"/>
      <c r="E3" s="19"/>
      <c r="F3" s="55"/>
    </row>
    <row r="4" spans="1:17" ht="18.75" x14ac:dyDescent="0.3">
      <c r="A4" s="19"/>
      <c r="B4" s="24"/>
      <c r="D4" s="19"/>
      <c r="E4" s="19"/>
      <c r="F4" s="55"/>
    </row>
    <row r="5" spans="1:17" ht="18.75" x14ac:dyDescent="0.3">
      <c r="A5" s="20" t="s">
        <v>256</v>
      </c>
      <c r="C5" s="26" t="s">
        <v>293</v>
      </c>
      <c r="D5" s="19"/>
      <c r="E5" s="19"/>
      <c r="F5" s="55"/>
    </row>
    <row r="6" spans="1:17" ht="39.75" customHeight="1" x14ac:dyDescent="0.3">
      <c r="A6" s="20" t="s">
        <v>252</v>
      </c>
      <c r="C6" s="23">
        <v>34914</v>
      </c>
      <c r="D6" s="20" t="s">
        <v>253</v>
      </c>
      <c r="E6" s="49">
        <f>(B1-C6)/365</f>
        <v>27.101369863013698</v>
      </c>
      <c r="F6" s="48"/>
    </row>
    <row r="7" spans="1:17" ht="26.25" customHeight="1" x14ac:dyDescent="0.3">
      <c r="A7" s="20" t="s">
        <v>254</v>
      </c>
      <c r="C7" s="23">
        <v>43620</v>
      </c>
      <c r="D7" s="20" t="s">
        <v>255</v>
      </c>
      <c r="E7" s="49">
        <f>(B1-C7)/365</f>
        <v>3.2493150684931509</v>
      </c>
      <c r="F7" s="48"/>
    </row>
    <row r="8" spans="1:17" x14ac:dyDescent="0.25">
      <c r="B8"/>
    </row>
    <row r="9" spans="1:17" x14ac:dyDescent="0.25">
      <c r="B9"/>
    </row>
    <row r="10" spans="1:17" ht="18.75" x14ac:dyDescent="0.3">
      <c r="A10" s="20" t="s">
        <v>257</v>
      </c>
      <c r="B10"/>
    </row>
    <row r="11" spans="1:17" ht="15.75" thickBot="1" x14ac:dyDescent="0.3"/>
    <row r="12" spans="1:17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17" ht="20.100000000000001" customHeight="1" x14ac:dyDescent="0.25">
      <c r="A13" s="32">
        <v>3041</v>
      </c>
      <c r="B13" s="60" t="s">
        <v>36</v>
      </c>
      <c r="C13" s="33"/>
      <c r="D13" s="44"/>
      <c r="E13" s="45"/>
      <c r="F13" s="34"/>
      <c r="G13" s="34">
        <v>2019</v>
      </c>
      <c r="H13" s="35">
        <v>151.66999999999999</v>
      </c>
      <c r="O13" s="18"/>
      <c r="P13" s="18"/>
      <c r="Q13" s="13"/>
    </row>
    <row r="14" spans="1:17" ht="20.100000000000001" customHeight="1" x14ac:dyDescent="0.25">
      <c r="A14" s="36">
        <v>3042</v>
      </c>
      <c r="B14" s="59" t="s">
        <v>52</v>
      </c>
      <c r="C14" s="37"/>
      <c r="D14" s="42"/>
      <c r="E14" s="46"/>
      <c r="F14" s="38"/>
      <c r="G14" s="38">
        <v>2019</v>
      </c>
      <c r="H14" s="39">
        <v>151.66999999999999</v>
      </c>
      <c r="O14" s="18"/>
      <c r="P14" s="18"/>
      <c r="Q14" s="13"/>
    </row>
    <row r="15" spans="1:17" ht="20.100000000000001" customHeight="1" x14ac:dyDescent="0.25">
      <c r="A15" s="36">
        <v>1004</v>
      </c>
      <c r="B15" s="59" t="s">
        <v>206</v>
      </c>
      <c r="C15" s="37"/>
      <c r="D15" s="42"/>
      <c r="E15" s="46"/>
      <c r="F15" s="38"/>
      <c r="G15" s="38">
        <v>2019</v>
      </c>
      <c r="H15" s="39">
        <v>7</v>
      </c>
      <c r="O15" s="18"/>
      <c r="P15" s="18"/>
      <c r="Q15" s="13"/>
    </row>
    <row r="16" spans="1:17" ht="20.100000000000001" customHeight="1" x14ac:dyDescent="0.25">
      <c r="A16" s="36">
        <v>1010</v>
      </c>
      <c r="B16" s="59" t="s">
        <v>222</v>
      </c>
      <c r="C16" s="37"/>
      <c r="D16" s="42"/>
      <c r="E16" s="46"/>
      <c r="F16" s="38"/>
      <c r="G16" s="38">
        <v>2019</v>
      </c>
      <c r="H16" s="39">
        <v>2</v>
      </c>
      <c r="O16" s="18"/>
      <c r="P16" s="18"/>
      <c r="Q16" s="13"/>
    </row>
    <row r="17" spans="1:18" ht="20.100000000000001" customHeight="1" x14ac:dyDescent="0.25">
      <c r="A17" s="36">
        <v>1009</v>
      </c>
      <c r="B17" s="59" t="s">
        <v>221</v>
      </c>
      <c r="C17" s="37"/>
      <c r="D17" s="42"/>
      <c r="E17" s="46"/>
      <c r="F17" s="38"/>
      <c r="G17" s="38">
        <v>2019</v>
      </c>
      <c r="H17" s="39">
        <v>2</v>
      </c>
      <c r="O17" s="18"/>
      <c r="P17" s="18"/>
      <c r="Q17" s="13"/>
    </row>
    <row r="18" spans="1:18" ht="20.100000000000001" customHeight="1" x14ac:dyDescent="0.25">
      <c r="A18" s="36"/>
      <c r="B18" s="59"/>
      <c r="C18" s="37"/>
      <c r="D18" s="42"/>
      <c r="E18" s="46"/>
      <c r="F18" s="38"/>
      <c r="G18" s="38"/>
      <c r="H18" s="39"/>
      <c r="O18" s="18"/>
      <c r="P18" s="18"/>
      <c r="Q18" s="13"/>
    </row>
    <row r="19" spans="1:18" ht="20.100000000000001" customHeight="1" x14ac:dyDescent="0.25">
      <c r="A19" s="36"/>
      <c r="B19" s="59"/>
      <c r="C19" s="37"/>
      <c r="D19" s="42"/>
      <c r="E19" s="46"/>
      <c r="F19" s="38"/>
      <c r="G19" s="38"/>
      <c r="H19" s="39"/>
      <c r="O19" s="18"/>
      <c r="P19" s="18"/>
      <c r="Q19" s="13"/>
    </row>
    <row r="20" spans="1:18" ht="20.100000000000001" customHeight="1" x14ac:dyDescent="0.25">
      <c r="A20" s="36"/>
      <c r="B20" s="59"/>
      <c r="C20" s="37"/>
      <c r="D20" s="42"/>
      <c r="E20" s="46"/>
      <c r="F20" s="38"/>
      <c r="G20" s="38"/>
      <c r="H20" s="39"/>
      <c r="O20" s="18"/>
      <c r="P20" s="18"/>
      <c r="Q20" s="13"/>
    </row>
    <row r="21" spans="1:18" ht="20.100000000000001" customHeight="1" x14ac:dyDescent="0.25">
      <c r="A21" s="36"/>
      <c r="B21" s="59"/>
      <c r="C21" s="37"/>
      <c r="D21" s="42"/>
      <c r="E21" s="46"/>
      <c r="F21" s="38"/>
      <c r="G21" s="38"/>
      <c r="H21" s="39"/>
      <c r="O21" s="18"/>
      <c r="P21" s="18"/>
      <c r="Q21" s="13"/>
    </row>
    <row r="22" spans="1:18" ht="20.100000000000001" customHeight="1" x14ac:dyDescent="0.25">
      <c r="A22" s="36"/>
      <c r="B22" s="59"/>
      <c r="C22" s="37"/>
      <c r="D22" s="42"/>
      <c r="E22" s="46"/>
      <c r="F22" s="38"/>
      <c r="G22" s="38"/>
      <c r="H22" s="39"/>
      <c r="O22" s="18"/>
      <c r="P22" s="18"/>
      <c r="Q22" s="13"/>
    </row>
    <row r="23" spans="1:18" ht="20.100000000000001" customHeight="1" x14ac:dyDescent="0.25">
      <c r="A23" s="36"/>
      <c r="B23" s="59"/>
      <c r="C23" s="37"/>
      <c r="D23" s="42"/>
      <c r="E23" s="46"/>
      <c r="F23" s="38"/>
      <c r="G23" s="38"/>
      <c r="H23" s="39"/>
      <c r="O23" s="18"/>
      <c r="P23" s="18"/>
      <c r="Q23" s="13"/>
    </row>
    <row r="24" spans="1:18" ht="20.100000000000001" customHeight="1" x14ac:dyDescent="0.25">
      <c r="A24" s="36"/>
      <c r="B24" s="59"/>
      <c r="C24" s="37"/>
      <c r="D24" s="42"/>
      <c r="E24" s="46"/>
      <c r="F24" s="38"/>
      <c r="G24" s="38"/>
      <c r="H24" s="39"/>
      <c r="O24" s="18"/>
      <c r="P24" s="18"/>
      <c r="Q24" s="13"/>
    </row>
    <row r="25" spans="1:18" ht="20.100000000000001" customHeight="1" x14ac:dyDescent="0.25">
      <c r="A25" s="36"/>
      <c r="B25" s="59"/>
      <c r="C25" s="37"/>
      <c r="D25" s="42"/>
      <c r="E25" s="46"/>
      <c r="F25" s="38"/>
      <c r="G25" s="38"/>
      <c r="H25" s="39"/>
      <c r="O25" s="18"/>
      <c r="P25" s="18"/>
      <c r="Q25" s="13"/>
    </row>
    <row r="26" spans="1:18" ht="20.100000000000001" customHeight="1" x14ac:dyDescent="0.25">
      <c r="A26" s="36"/>
      <c r="B26" s="59"/>
      <c r="C26" s="37"/>
      <c r="D26" s="42"/>
      <c r="E26" s="46"/>
      <c r="F26" s="38"/>
      <c r="G26" s="38"/>
      <c r="H26" s="39"/>
      <c r="O26" s="18"/>
      <c r="P26" s="18"/>
      <c r="Q26" s="13"/>
    </row>
    <row r="27" spans="1:18" ht="20.100000000000001" customHeight="1" x14ac:dyDescent="0.25">
      <c r="A27" s="36"/>
      <c r="B27" s="59"/>
      <c r="C27" s="37"/>
      <c r="D27" s="42"/>
      <c r="E27" s="46"/>
      <c r="F27" s="38"/>
      <c r="G27" s="38"/>
      <c r="H27" s="39"/>
      <c r="O27" s="18"/>
      <c r="P27" s="18"/>
      <c r="Q27" s="13"/>
      <c r="R27" s="15"/>
    </row>
    <row r="28" spans="1:18" ht="20.100000000000001" customHeight="1" x14ac:dyDescent="0.25">
      <c r="A28" s="36"/>
      <c r="B28" s="59"/>
      <c r="C28" s="37"/>
      <c r="D28" s="42"/>
      <c r="E28" s="46"/>
      <c r="F28" s="38"/>
      <c r="G28" s="38"/>
      <c r="H28" s="39"/>
      <c r="Q28" s="13"/>
    </row>
    <row r="29" spans="1:18" ht="20.100000000000001" customHeight="1" x14ac:dyDescent="0.25">
      <c r="A29" s="36"/>
      <c r="B29" s="59"/>
      <c r="C29" s="37"/>
      <c r="D29" s="42"/>
      <c r="E29" s="46"/>
      <c r="F29" s="38"/>
      <c r="G29" s="38"/>
      <c r="H29" s="39"/>
      <c r="Q29" s="13"/>
    </row>
    <row r="30" spans="1:18" ht="20.100000000000001" customHeight="1" x14ac:dyDescent="0.25">
      <c r="A30" s="36"/>
      <c r="B30" s="59"/>
      <c r="C30" s="37"/>
      <c r="D30" s="42"/>
      <c r="E30" s="46"/>
      <c r="F30" s="38"/>
      <c r="G30" s="38"/>
      <c r="H30" s="39"/>
      <c r="Q30" s="13"/>
    </row>
    <row r="31" spans="1:18" ht="20.100000000000001" customHeight="1" x14ac:dyDescent="0.25">
      <c r="A31" s="36"/>
      <c r="B31" s="59"/>
      <c r="C31" s="37"/>
      <c r="D31" s="42"/>
      <c r="E31" s="46"/>
      <c r="F31" s="38"/>
      <c r="G31" s="38"/>
      <c r="H31" s="39"/>
      <c r="Q31" s="13"/>
    </row>
    <row r="32" spans="1:18" ht="20.100000000000001" customHeight="1" x14ac:dyDescent="0.25">
      <c r="A32" s="36"/>
      <c r="B32" s="59"/>
      <c r="C32" s="37"/>
      <c r="D32" s="42"/>
      <c r="E32" s="46"/>
      <c r="F32" s="38"/>
      <c r="G32" s="38"/>
      <c r="H32" s="39"/>
      <c r="Q32" s="13"/>
    </row>
    <row r="33" spans="1:17" ht="20.100000000000001" customHeight="1" x14ac:dyDescent="0.25">
      <c r="A33" s="36"/>
      <c r="B33" s="59"/>
      <c r="C33" s="37"/>
      <c r="D33" s="42"/>
      <c r="E33" s="46"/>
      <c r="F33" s="38"/>
      <c r="G33" s="38"/>
      <c r="H33" s="39"/>
      <c r="Q33" s="13"/>
    </row>
    <row r="34" spans="1:17" ht="20.100000000000001" customHeight="1" x14ac:dyDescent="0.25">
      <c r="A34" s="36"/>
      <c r="B34" s="59"/>
      <c r="C34" s="37"/>
      <c r="D34" s="42"/>
      <c r="E34" s="46"/>
      <c r="F34" s="38"/>
      <c r="G34" s="38"/>
      <c r="H34" s="39"/>
      <c r="Q34" s="13"/>
    </row>
    <row r="35" spans="1:17" ht="20.100000000000001" customHeight="1" x14ac:dyDescent="0.25">
      <c r="A35" s="36"/>
      <c r="B35" s="59"/>
      <c r="C35" s="37"/>
      <c r="D35" s="42"/>
      <c r="E35" s="46"/>
      <c r="F35" s="38"/>
      <c r="G35" s="38"/>
      <c r="H35" s="39"/>
      <c r="Q35" s="13"/>
    </row>
    <row r="36" spans="1:17" ht="20.100000000000001" customHeight="1" x14ac:dyDescent="0.25">
      <c r="A36" s="36"/>
      <c r="B36" s="59"/>
      <c r="C36" s="37"/>
      <c r="D36" s="42"/>
      <c r="E36" s="46"/>
      <c r="F36" s="38"/>
      <c r="G36" s="38"/>
      <c r="H36" s="39"/>
      <c r="Q36" s="13"/>
    </row>
    <row r="37" spans="1:17" ht="20.100000000000001" customHeight="1" x14ac:dyDescent="0.25">
      <c r="A37" s="36"/>
      <c r="B37" s="37"/>
      <c r="C37" s="37"/>
      <c r="D37" s="42"/>
      <c r="E37" s="46"/>
      <c r="F37" s="38"/>
      <c r="G37" s="38"/>
      <c r="H37" s="39"/>
      <c r="Q37" s="13"/>
    </row>
    <row r="38" spans="1:17" ht="20.100000000000001" customHeight="1" x14ac:dyDescent="0.25">
      <c r="A38" s="36"/>
      <c r="B38" s="37"/>
      <c r="C38" s="37"/>
      <c r="D38" s="42"/>
      <c r="E38" s="46"/>
      <c r="F38" s="38"/>
      <c r="G38" s="38"/>
      <c r="H38" s="39"/>
      <c r="Q38" s="13"/>
    </row>
    <row r="39" spans="1:17" ht="20.100000000000001" customHeight="1" x14ac:dyDescent="0.25">
      <c r="A39" s="36"/>
      <c r="B39" s="37"/>
      <c r="C39" s="37"/>
      <c r="D39" s="42"/>
      <c r="E39" s="46"/>
      <c r="F39" s="38"/>
      <c r="G39" s="38"/>
      <c r="H39" s="39"/>
      <c r="Q39" s="13"/>
    </row>
    <row r="40" spans="1:17" ht="20.100000000000001" customHeight="1" x14ac:dyDescent="0.25">
      <c r="A40" s="36"/>
      <c r="B40" s="37"/>
      <c r="C40" s="37"/>
      <c r="D40" s="42"/>
      <c r="E40" s="46"/>
      <c r="F40" s="38"/>
      <c r="G40" s="38"/>
      <c r="H40" s="39"/>
      <c r="Q40" s="13"/>
    </row>
    <row r="41" spans="1:17" ht="20.100000000000001" customHeight="1" x14ac:dyDescent="0.25">
      <c r="A41" s="36"/>
      <c r="B41" s="37"/>
      <c r="C41" s="37"/>
      <c r="D41" s="42"/>
      <c r="E41" s="46"/>
      <c r="F41" s="38"/>
      <c r="G41" s="38"/>
      <c r="H41" s="39"/>
      <c r="Q41" s="13"/>
    </row>
    <row r="42" spans="1:17" ht="20.100000000000001" customHeight="1" x14ac:dyDescent="0.25">
      <c r="A42" s="36"/>
      <c r="B42" s="37"/>
      <c r="C42" s="37"/>
      <c r="D42" s="42"/>
      <c r="E42" s="46"/>
      <c r="F42" s="38"/>
      <c r="G42" s="38"/>
      <c r="H42" s="39"/>
      <c r="Q42" s="13"/>
    </row>
    <row r="43" spans="1:17" ht="20.100000000000001" customHeight="1" x14ac:dyDescent="0.25">
      <c r="A43" s="36"/>
      <c r="B43" s="37"/>
      <c r="C43" s="37"/>
      <c r="D43" s="42"/>
      <c r="E43" s="46"/>
      <c r="F43" s="38"/>
      <c r="G43" s="38"/>
      <c r="H43" s="39"/>
      <c r="Q43" s="13"/>
    </row>
    <row r="44" spans="1:17" ht="20.100000000000001" customHeight="1" x14ac:dyDescent="0.25">
      <c r="A44" s="36"/>
      <c r="B44" s="37"/>
      <c r="C44" s="37"/>
      <c r="D44" s="42"/>
      <c r="E44" s="46"/>
      <c r="F44" s="38"/>
      <c r="G44" s="38"/>
      <c r="H44" s="39"/>
      <c r="Q44" s="13"/>
    </row>
    <row r="45" spans="1:17" ht="20.100000000000001" customHeight="1" x14ac:dyDescent="0.25">
      <c r="A45" s="36"/>
      <c r="B45" s="37"/>
      <c r="C45" s="37"/>
      <c r="D45" s="42"/>
      <c r="E45" s="46"/>
      <c r="F45" s="38"/>
      <c r="G45" s="38"/>
      <c r="H45" s="39"/>
      <c r="Q45" s="13"/>
    </row>
    <row r="46" spans="1:17" ht="20.100000000000001" customHeight="1" x14ac:dyDescent="0.25">
      <c r="A46" s="36"/>
      <c r="B46" s="37"/>
      <c r="C46" s="37"/>
      <c r="D46" s="42"/>
      <c r="E46" s="46"/>
      <c r="F46" s="38"/>
      <c r="G46" s="38"/>
      <c r="H46" s="39"/>
      <c r="Q46" s="13"/>
    </row>
    <row r="47" spans="1:17" ht="20.100000000000001" customHeight="1" x14ac:dyDescent="0.25">
      <c r="A47" s="36"/>
      <c r="B47" s="37"/>
      <c r="C47" s="37"/>
      <c r="D47" s="42"/>
      <c r="E47" s="46"/>
      <c r="F47" s="38"/>
      <c r="G47" s="38"/>
      <c r="H47" s="39"/>
      <c r="Q47" s="13"/>
    </row>
    <row r="48" spans="1:17" ht="20.100000000000001" customHeight="1" x14ac:dyDescent="0.25">
      <c r="A48" s="36"/>
      <c r="B48" s="37"/>
      <c r="C48" s="37"/>
      <c r="D48" s="42"/>
      <c r="E48" s="46"/>
      <c r="F48" s="38"/>
      <c r="G48" s="38"/>
      <c r="H48" s="39"/>
      <c r="Q48" s="13"/>
    </row>
    <row r="49" spans="1:17" ht="20.100000000000001" customHeight="1" x14ac:dyDescent="0.25">
      <c r="A49" s="36"/>
      <c r="B49" s="37"/>
      <c r="C49" s="37"/>
      <c r="D49" s="42"/>
      <c r="E49" s="46"/>
      <c r="F49" s="38"/>
      <c r="G49" s="38"/>
      <c r="H49" s="39"/>
      <c r="Q49" s="13"/>
    </row>
    <row r="50" spans="1:17" ht="20.100000000000001" customHeight="1" x14ac:dyDescent="0.25">
      <c r="A50" s="36"/>
      <c r="B50" s="37"/>
      <c r="C50" s="37"/>
      <c r="D50" s="42"/>
      <c r="E50" s="46"/>
      <c r="F50" s="38"/>
      <c r="G50" s="38"/>
      <c r="H50" s="39"/>
      <c r="Q50" s="13"/>
    </row>
    <row r="51" spans="1:17" ht="20.100000000000001" customHeight="1" x14ac:dyDescent="0.25">
      <c r="A51" s="36"/>
      <c r="B51" s="37"/>
      <c r="C51" s="37"/>
      <c r="D51" s="42"/>
      <c r="E51" s="46"/>
      <c r="F51" s="38"/>
      <c r="G51" s="38"/>
      <c r="H51" s="39"/>
      <c r="Q51" s="13"/>
    </row>
    <row r="52" spans="1:17" ht="20.100000000000001" customHeight="1" x14ac:dyDescent="0.25">
      <c r="A52" s="36"/>
      <c r="B52" s="37"/>
      <c r="C52" s="37"/>
      <c r="D52" s="42"/>
      <c r="E52" s="46"/>
      <c r="F52" s="38"/>
      <c r="G52" s="38"/>
      <c r="H52" s="39"/>
      <c r="Q52" s="13"/>
    </row>
    <row r="53" spans="1:17" ht="15.75" thickBot="1" x14ac:dyDescent="0.3">
      <c r="A53" s="30"/>
      <c r="B53" s="27"/>
      <c r="C53" s="28"/>
      <c r="D53" s="31"/>
      <c r="E53" s="47"/>
      <c r="F53" s="57"/>
      <c r="G53" s="57"/>
      <c r="H53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53"/>
  <sheetViews>
    <sheetView workbookViewId="0">
      <selection activeCell="L12" sqref="L12:S24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17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17" ht="18.75" x14ac:dyDescent="0.3">
      <c r="A2" s="19"/>
      <c r="B2" s="24"/>
      <c r="D2" s="19"/>
      <c r="E2" s="19"/>
      <c r="F2" s="55"/>
    </row>
    <row r="3" spans="1:17" ht="18.75" x14ac:dyDescent="0.3">
      <c r="A3" s="20" t="s">
        <v>251</v>
      </c>
      <c r="C3" s="25">
        <v>400</v>
      </c>
      <c r="D3" s="19"/>
      <c r="E3" s="19"/>
      <c r="F3" s="55"/>
    </row>
    <row r="4" spans="1:17" ht="18.75" x14ac:dyDescent="0.3">
      <c r="A4" s="19"/>
      <c r="B4" s="24"/>
      <c r="D4" s="19"/>
      <c r="E4" s="19"/>
      <c r="F4" s="55"/>
    </row>
    <row r="5" spans="1:17" ht="18.75" x14ac:dyDescent="0.3">
      <c r="A5" s="20" t="s">
        <v>256</v>
      </c>
      <c r="C5" s="26" t="str">
        <f>VLOOKUP(C3,'Liste salariés'!A3:G104,2,FALSE)</f>
        <v>PICOT Frédéric</v>
      </c>
      <c r="D5" s="19"/>
      <c r="E5" s="19"/>
      <c r="F5" s="55"/>
    </row>
    <row r="6" spans="1:17" ht="39.75" customHeight="1" x14ac:dyDescent="0.3">
      <c r="A6" s="20" t="s">
        <v>252</v>
      </c>
      <c r="C6" s="23">
        <f>VLOOKUP(C3,'Liste salariés'!A3:J103,6,FALSE)</f>
        <v>28137</v>
      </c>
      <c r="D6" s="20" t="s">
        <v>253</v>
      </c>
      <c r="E6" s="49">
        <f ca="1">(B1-C6)/365</f>
        <v>49.19178082191781</v>
      </c>
      <c r="F6" s="48"/>
    </row>
    <row r="7" spans="1:17" ht="26.25" customHeight="1" x14ac:dyDescent="0.3">
      <c r="A7" s="20" t="s">
        <v>254</v>
      </c>
      <c r="C7" s="23">
        <f>VLOOKUP(C3,'Liste salariés'!A3:J105,3,FALSE)</f>
        <v>43871</v>
      </c>
      <c r="D7" s="20" t="s">
        <v>255</v>
      </c>
      <c r="E7" s="49">
        <f ca="1">(B1-C7)/365</f>
        <v>6.0849315068493155</v>
      </c>
      <c r="F7" s="48"/>
    </row>
    <row r="8" spans="1:17" x14ac:dyDescent="0.25">
      <c r="B8"/>
    </row>
    <row r="9" spans="1:17" x14ac:dyDescent="0.25">
      <c r="B9"/>
    </row>
    <row r="10" spans="1:17" ht="18.75" x14ac:dyDescent="0.3">
      <c r="A10" s="20" t="s">
        <v>257</v>
      </c>
      <c r="B10"/>
    </row>
    <row r="11" spans="1:17" ht="15.75" thickBot="1" x14ac:dyDescent="0.3"/>
    <row r="12" spans="1:17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17" ht="20.100000000000001" customHeight="1" x14ac:dyDescent="0.25">
      <c r="A13" s="32">
        <v>3041</v>
      </c>
      <c r="B13" s="60" t="s">
        <v>36</v>
      </c>
      <c r="C13" s="33"/>
      <c r="D13" s="44"/>
      <c r="E13" s="45"/>
      <c r="F13" s="34"/>
      <c r="G13" s="34">
        <v>2020</v>
      </c>
      <c r="H13" s="35">
        <v>360</v>
      </c>
      <c r="O13" s="18"/>
      <c r="P13" s="18"/>
      <c r="Q13" s="13"/>
    </row>
    <row r="14" spans="1:17" ht="20.100000000000001" customHeight="1" x14ac:dyDescent="0.25">
      <c r="A14" s="36">
        <v>1002</v>
      </c>
      <c r="B14" s="59" t="s">
        <v>204</v>
      </c>
      <c r="C14" s="37"/>
      <c r="D14" s="42"/>
      <c r="E14" s="46"/>
      <c r="F14" s="38"/>
      <c r="G14" s="38">
        <v>2023</v>
      </c>
      <c r="H14" s="39">
        <v>14</v>
      </c>
      <c r="O14" s="18"/>
      <c r="P14" s="18"/>
      <c r="Q14" s="13"/>
    </row>
    <row r="15" spans="1:17" ht="20.100000000000001" customHeight="1" x14ac:dyDescent="0.25">
      <c r="A15" s="36">
        <v>1009</v>
      </c>
      <c r="B15" s="59" t="s">
        <v>221</v>
      </c>
      <c r="C15" s="37"/>
      <c r="D15" s="42"/>
      <c r="E15" s="46"/>
      <c r="F15" s="38"/>
      <c r="G15" s="38">
        <v>2023</v>
      </c>
      <c r="H15" s="39">
        <v>2</v>
      </c>
      <c r="O15" s="18"/>
      <c r="P15" s="18"/>
      <c r="Q15" s="13"/>
    </row>
    <row r="16" spans="1:17" ht="20.100000000000001" customHeight="1" x14ac:dyDescent="0.25">
      <c r="A16" s="36">
        <v>1010</v>
      </c>
      <c r="B16" s="59" t="s">
        <v>222</v>
      </c>
      <c r="C16" s="37"/>
      <c r="D16" s="42"/>
      <c r="E16" s="46"/>
      <c r="F16" s="38"/>
      <c r="G16" s="38">
        <v>2023</v>
      </c>
      <c r="H16" s="39">
        <v>2</v>
      </c>
      <c r="O16" s="18"/>
      <c r="P16" s="18"/>
      <c r="Q16" s="13"/>
    </row>
    <row r="17" spans="1:18" ht="20.100000000000001" customHeight="1" x14ac:dyDescent="0.25">
      <c r="A17" s="36">
        <v>1014</v>
      </c>
      <c r="B17" s="59" t="s">
        <v>161</v>
      </c>
      <c r="C17" s="37"/>
      <c r="D17" s="42"/>
      <c r="E17" s="46"/>
      <c r="F17" s="38"/>
      <c r="G17" s="38">
        <v>2023</v>
      </c>
      <c r="H17" s="39">
        <v>35</v>
      </c>
      <c r="O17" s="18"/>
      <c r="P17" s="18"/>
      <c r="Q17" s="13"/>
    </row>
    <row r="18" spans="1:18" ht="20.100000000000001" customHeight="1" x14ac:dyDescent="0.25">
      <c r="A18" s="36">
        <v>1016</v>
      </c>
      <c r="B18" s="59" t="s">
        <v>207</v>
      </c>
      <c r="C18" s="37"/>
      <c r="D18" s="42"/>
      <c r="E18" s="46"/>
      <c r="F18" s="38"/>
      <c r="G18" s="38">
        <v>2023</v>
      </c>
      <c r="H18" s="39">
        <v>14</v>
      </c>
      <c r="O18" s="18"/>
      <c r="P18" s="18"/>
      <c r="Q18" s="13"/>
    </row>
    <row r="19" spans="1:18" ht="20.100000000000001" customHeight="1" x14ac:dyDescent="0.25">
      <c r="A19" s="36">
        <v>3012</v>
      </c>
      <c r="B19" s="59" t="s">
        <v>38</v>
      </c>
      <c r="C19" s="37"/>
      <c r="D19" s="42"/>
      <c r="E19" s="46"/>
      <c r="F19" s="38"/>
      <c r="G19" s="38">
        <v>2023</v>
      </c>
      <c r="H19" s="39">
        <v>151.66999999999999</v>
      </c>
      <c r="O19" s="18"/>
      <c r="P19" s="18"/>
      <c r="Q19" s="13"/>
    </row>
    <row r="20" spans="1:18" ht="20.100000000000001" customHeight="1" x14ac:dyDescent="0.25">
      <c r="A20" s="36">
        <v>3045</v>
      </c>
      <c r="B20" s="59" t="s">
        <v>17</v>
      </c>
      <c r="C20" s="37"/>
      <c r="D20" s="42"/>
      <c r="E20" s="46"/>
      <c r="F20" s="38"/>
      <c r="G20" s="38">
        <v>2023</v>
      </c>
      <c r="H20" s="39">
        <v>151.66999999999999</v>
      </c>
      <c r="O20" s="18"/>
      <c r="P20" s="18"/>
      <c r="Q20" s="13"/>
    </row>
    <row r="21" spans="1:18" ht="20.100000000000001" customHeight="1" x14ac:dyDescent="0.25">
      <c r="A21" s="36"/>
      <c r="B21" s="59"/>
      <c r="C21" s="37"/>
      <c r="D21" s="42"/>
      <c r="E21" s="46"/>
      <c r="F21" s="38"/>
      <c r="G21" s="38"/>
      <c r="H21" s="39"/>
      <c r="O21" s="18"/>
      <c r="P21" s="18"/>
      <c r="Q21" s="13"/>
    </row>
    <row r="22" spans="1:18" ht="20.100000000000001" customHeight="1" x14ac:dyDescent="0.25">
      <c r="A22" s="36"/>
      <c r="B22" s="59"/>
      <c r="C22" s="37"/>
      <c r="D22" s="42"/>
      <c r="E22" s="46"/>
      <c r="F22" s="38"/>
      <c r="G22" s="38"/>
      <c r="H22" s="39"/>
      <c r="O22" s="18"/>
      <c r="P22" s="18"/>
      <c r="Q22" s="13"/>
    </row>
    <row r="23" spans="1:18" ht="20.100000000000001" customHeight="1" x14ac:dyDescent="0.25">
      <c r="A23" s="36"/>
      <c r="B23" s="59"/>
      <c r="C23" s="37"/>
      <c r="D23" s="42"/>
      <c r="E23" s="46"/>
      <c r="F23" s="38"/>
      <c r="G23" s="38"/>
      <c r="H23" s="39"/>
      <c r="O23" s="18"/>
      <c r="P23" s="18"/>
      <c r="Q23" s="13"/>
      <c r="R23" s="15"/>
    </row>
    <row r="24" spans="1:18" ht="20.100000000000001" customHeight="1" x14ac:dyDescent="0.25">
      <c r="A24" s="36"/>
      <c r="B24" s="59"/>
      <c r="C24" s="37"/>
      <c r="D24" s="42"/>
      <c r="E24" s="46"/>
      <c r="F24" s="38"/>
      <c r="G24" s="38"/>
      <c r="H24" s="39"/>
      <c r="Q24" s="13"/>
    </row>
    <row r="25" spans="1:18" ht="20.100000000000001" customHeight="1" x14ac:dyDescent="0.25">
      <c r="A25" s="36"/>
      <c r="B25" s="59"/>
      <c r="C25" s="37"/>
      <c r="D25" s="42"/>
      <c r="E25" s="46"/>
      <c r="F25" s="38"/>
      <c r="G25" s="38"/>
      <c r="H25" s="39"/>
      <c r="Q25" s="13"/>
    </row>
    <row r="26" spans="1:18" ht="20.100000000000001" customHeight="1" x14ac:dyDescent="0.25">
      <c r="A26" s="36"/>
      <c r="B26" s="59"/>
      <c r="C26" s="37"/>
      <c r="D26" s="42"/>
      <c r="E26" s="46"/>
      <c r="F26" s="38"/>
      <c r="G26" s="38"/>
      <c r="H26" s="39"/>
      <c r="Q26" s="13"/>
    </row>
    <row r="27" spans="1:18" ht="20.100000000000001" customHeight="1" x14ac:dyDescent="0.25">
      <c r="A27" s="36"/>
      <c r="B27" s="59"/>
      <c r="C27" s="37"/>
      <c r="D27" s="42"/>
      <c r="E27" s="46"/>
      <c r="F27" s="38"/>
      <c r="G27" s="38"/>
      <c r="H27" s="39"/>
      <c r="Q27" s="13"/>
    </row>
    <row r="28" spans="1:18" ht="20.100000000000001" customHeight="1" x14ac:dyDescent="0.25">
      <c r="A28" s="36"/>
      <c r="B28" s="59"/>
      <c r="C28" s="37"/>
      <c r="D28" s="42"/>
      <c r="E28" s="46"/>
      <c r="F28" s="38"/>
      <c r="G28" s="38"/>
      <c r="H28" s="39"/>
      <c r="Q28" s="13"/>
    </row>
    <row r="29" spans="1:18" ht="20.100000000000001" customHeight="1" x14ac:dyDescent="0.25">
      <c r="A29" s="36"/>
      <c r="B29" s="59"/>
      <c r="C29" s="37"/>
      <c r="D29" s="42"/>
      <c r="E29" s="46"/>
      <c r="F29" s="38"/>
      <c r="G29" s="38"/>
      <c r="H29" s="39"/>
      <c r="Q29" s="13"/>
    </row>
    <row r="30" spans="1:18" ht="20.100000000000001" customHeight="1" x14ac:dyDescent="0.25">
      <c r="A30" s="36"/>
      <c r="B30" s="59"/>
      <c r="C30" s="37"/>
      <c r="D30" s="42"/>
      <c r="E30" s="46"/>
      <c r="F30" s="38"/>
      <c r="G30" s="38"/>
      <c r="H30" s="39"/>
      <c r="Q30" s="13"/>
    </row>
    <row r="31" spans="1:18" ht="20.100000000000001" customHeight="1" x14ac:dyDescent="0.25">
      <c r="A31" s="36"/>
      <c r="B31" s="59"/>
      <c r="C31" s="37"/>
      <c r="D31" s="42"/>
      <c r="E31" s="46"/>
      <c r="F31" s="38"/>
      <c r="G31" s="38"/>
      <c r="H31" s="39"/>
      <c r="Q31" s="13"/>
    </row>
    <row r="32" spans="1:18" ht="20.100000000000001" customHeight="1" x14ac:dyDescent="0.25">
      <c r="A32" s="36"/>
      <c r="B32" s="59"/>
      <c r="C32" s="37"/>
      <c r="D32" s="42"/>
      <c r="E32" s="46"/>
      <c r="F32" s="38"/>
      <c r="G32" s="38"/>
      <c r="H32" s="39"/>
      <c r="Q32" s="13"/>
    </row>
    <row r="33" spans="1:17" ht="20.100000000000001" customHeight="1" x14ac:dyDescent="0.25">
      <c r="A33" s="36"/>
      <c r="B33" s="37"/>
      <c r="C33" s="37"/>
      <c r="D33" s="42"/>
      <c r="E33" s="46"/>
      <c r="F33" s="38"/>
      <c r="G33" s="38"/>
      <c r="H33" s="39"/>
      <c r="Q33" s="13"/>
    </row>
    <row r="34" spans="1:17" ht="20.100000000000001" customHeight="1" x14ac:dyDescent="0.25">
      <c r="A34" s="36"/>
      <c r="B34" s="37"/>
      <c r="C34" s="37"/>
      <c r="D34" s="42"/>
      <c r="E34" s="46"/>
      <c r="F34" s="38"/>
      <c r="G34" s="38"/>
      <c r="H34" s="39"/>
      <c r="Q34" s="13"/>
    </row>
    <row r="35" spans="1:17" ht="20.100000000000001" customHeight="1" x14ac:dyDescent="0.25">
      <c r="A35" s="36"/>
      <c r="B35" s="37"/>
      <c r="C35" s="37"/>
      <c r="D35" s="42"/>
      <c r="E35" s="46"/>
      <c r="F35" s="38"/>
      <c r="G35" s="38"/>
      <c r="H35" s="39"/>
      <c r="Q35" s="13"/>
    </row>
    <row r="36" spans="1:17" ht="20.100000000000001" customHeight="1" x14ac:dyDescent="0.25">
      <c r="A36" s="36"/>
      <c r="B36" s="37"/>
      <c r="C36" s="37"/>
      <c r="D36" s="42"/>
      <c r="E36" s="46"/>
      <c r="F36" s="38"/>
      <c r="G36" s="38"/>
      <c r="H36" s="39"/>
      <c r="Q36" s="13"/>
    </row>
    <row r="37" spans="1:17" ht="20.100000000000001" customHeight="1" x14ac:dyDescent="0.25">
      <c r="A37" s="36"/>
      <c r="B37" s="37"/>
      <c r="C37" s="37"/>
      <c r="D37" s="42"/>
      <c r="E37" s="46"/>
      <c r="F37" s="38"/>
      <c r="G37" s="38"/>
      <c r="H37" s="39"/>
      <c r="Q37" s="13"/>
    </row>
    <row r="38" spans="1:17" ht="20.100000000000001" customHeight="1" x14ac:dyDescent="0.25">
      <c r="A38" s="36"/>
      <c r="B38" s="37"/>
      <c r="C38" s="37"/>
      <c r="D38" s="42"/>
      <c r="E38" s="46"/>
      <c r="F38" s="38"/>
      <c r="G38" s="38"/>
      <c r="H38" s="39"/>
      <c r="Q38" s="13"/>
    </row>
    <row r="39" spans="1:17" ht="20.100000000000001" customHeight="1" x14ac:dyDescent="0.25">
      <c r="A39" s="36"/>
      <c r="B39" s="37"/>
      <c r="C39" s="37"/>
      <c r="D39" s="42"/>
      <c r="E39" s="46"/>
      <c r="F39" s="38"/>
      <c r="G39" s="38"/>
      <c r="H39" s="39"/>
      <c r="Q39" s="13"/>
    </row>
    <row r="40" spans="1:17" ht="20.100000000000001" customHeight="1" x14ac:dyDescent="0.25">
      <c r="A40" s="36"/>
      <c r="B40" s="37"/>
      <c r="C40" s="37"/>
      <c r="D40" s="42"/>
      <c r="E40" s="46"/>
      <c r="F40" s="38"/>
      <c r="G40" s="38"/>
      <c r="H40" s="39"/>
      <c r="Q40" s="13"/>
    </row>
    <row r="41" spans="1:17" ht="20.100000000000001" customHeight="1" x14ac:dyDescent="0.25">
      <c r="A41" s="36"/>
      <c r="B41" s="37"/>
      <c r="C41" s="37"/>
      <c r="D41" s="42"/>
      <c r="E41" s="46"/>
      <c r="F41" s="38"/>
      <c r="G41" s="38"/>
      <c r="H41" s="39"/>
      <c r="Q41" s="13"/>
    </row>
    <row r="42" spans="1:17" ht="20.100000000000001" customHeight="1" x14ac:dyDescent="0.25">
      <c r="A42" s="36"/>
      <c r="B42" s="37"/>
      <c r="C42" s="37"/>
      <c r="D42" s="42"/>
      <c r="E42" s="46"/>
      <c r="F42" s="38"/>
      <c r="G42" s="38"/>
      <c r="H42" s="39"/>
      <c r="Q42" s="13"/>
    </row>
    <row r="43" spans="1:17" ht="20.100000000000001" customHeight="1" x14ac:dyDescent="0.25">
      <c r="A43" s="36"/>
      <c r="B43" s="37"/>
      <c r="C43" s="37"/>
      <c r="D43" s="42"/>
      <c r="E43" s="46"/>
      <c r="F43" s="38"/>
      <c r="G43" s="38"/>
      <c r="H43" s="39"/>
      <c r="Q43" s="13"/>
    </row>
    <row r="44" spans="1:17" ht="20.100000000000001" customHeight="1" x14ac:dyDescent="0.25">
      <c r="A44" s="36"/>
      <c r="B44" s="37"/>
      <c r="C44" s="37"/>
      <c r="D44" s="42"/>
      <c r="E44" s="46"/>
      <c r="F44" s="38"/>
      <c r="G44" s="38"/>
      <c r="H44" s="39"/>
      <c r="Q44" s="13"/>
    </row>
    <row r="45" spans="1:17" ht="20.100000000000001" customHeight="1" x14ac:dyDescent="0.25">
      <c r="A45" s="36"/>
      <c r="B45" s="37"/>
      <c r="C45" s="37"/>
      <c r="D45" s="42"/>
      <c r="E45" s="46"/>
      <c r="F45" s="38"/>
      <c r="G45" s="38"/>
      <c r="H45" s="39"/>
      <c r="Q45" s="13"/>
    </row>
    <row r="46" spans="1:17" ht="20.100000000000001" customHeight="1" x14ac:dyDescent="0.25">
      <c r="A46" s="36"/>
      <c r="B46" s="37"/>
      <c r="C46" s="37"/>
      <c r="D46" s="42"/>
      <c r="E46" s="46"/>
      <c r="F46" s="38"/>
      <c r="G46" s="38"/>
      <c r="H46" s="39"/>
      <c r="Q46" s="13"/>
    </row>
    <row r="47" spans="1:17" ht="20.100000000000001" customHeight="1" x14ac:dyDescent="0.25">
      <c r="A47" s="36"/>
      <c r="B47" s="37"/>
      <c r="C47" s="37"/>
      <c r="D47" s="42"/>
      <c r="E47" s="46"/>
      <c r="F47" s="38"/>
      <c r="G47" s="38"/>
      <c r="H47" s="39"/>
      <c r="Q47" s="13"/>
    </row>
    <row r="48" spans="1:17" ht="20.100000000000001" customHeight="1" x14ac:dyDescent="0.25">
      <c r="A48" s="36"/>
      <c r="B48" s="37"/>
      <c r="C48" s="37"/>
      <c r="D48" s="42"/>
      <c r="E48" s="46"/>
      <c r="F48" s="38"/>
      <c r="G48" s="38"/>
      <c r="H48" s="39"/>
      <c r="Q48" s="13"/>
    </row>
    <row r="49" spans="1:17" ht="20.100000000000001" customHeight="1" x14ac:dyDescent="0.25">
      <c r="A49" s="36"/>
      <c r="B49" s="37"/>
      <c r="C49" s="37"/>
      <c r="D49" s="42"/>
      <c r="E49" s="46"/>
      <c r="F49" s="38"/>
      <c r="G49" s="38"/>
      <c r="H49" s="39"/>
      <c r="Q49" s="13"/>
    </row>
    <row r="50" spans="1:17" ht="20.100000000000001" customHeight="1" x14ac:dyDescent="0.25">
      <c r="A50" s="36"/>
      <c r="B50" s="37"/>
      <c r="C50" s="37"/>
      <c r="D50" s="42"/>
      <c r="E50" s="46"/>
      <c r="F50" s="38"/>
      <c r="G50" s="38"/>
      <c r="H50" s="39"/>
      <c r="Q50" s="13"/>
    </row>
    <row r="51" spans="1:17" ht="20.100000000000001" customHeight="1" x14ac:dyDescent="0.25">
      <c r="A51" s="36"/>
      <c r="B51" s="37"/>
      <c r="C51" s="37"/>
      <c r="D51" s="42"/>
      <c r="E51" s="46"/>
      <c r="F51" s="38"/>
      <c r="G51" s="38"/>
      <c r="H51" s="39"/>
      <c r="Q51" s="13"/>
    </row>
    <row r="52" spans="1:17" ht="20.100000000000001" customHeight="1" x14ac:dyDescent="0.25">
      <c r="A52" s="36"/>
      <c r="B52" s="37"/>
      <c r="C52" s="37"/>
      <c r="D52" s="42"/>
      <c r="E52" s="46"/>
      <c r="F52" s="38"/>
      <c r="G52" s="38"/>
      <c r="H52" s="39"/>
      <c r="Q52" s="13"/>
    </row>
    <row r="53" spans="1:17" ht="15.75" thickBot="1" x14ac:dyDescent="0.3">
      <c r="A53" s="30"/>
      <c r="B53" s="27"/>
      <c r="C53" s="28"/>
      <c r="D53" s="31"/>
      <c r="E53" s="47"/>
      <c r="F53" s="57"/>
      <c r="G53" s="57"/>
      <c r="H53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53"/>
  <sheetViews>
    <sheetView topLeftCell="A4" workbookViewId="0">
      <selection activeCell="A14" sqref="A14:B14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17" ht="18.75" x14ac:dyDescent="0.3">
      <c r="A1" s="20" t="s">
        <v>250</v>
      </c>
      <c r="B1" s="58">
        <v>44918</v>
      </c>
      <c r="D1" s="19"/>
      <c r="E1" s="19"/>
      <c r="F1" s="55"/>
    </row>
    <row r="2" spans="1:17" ht="18.75" x14ac:dyDescent="0.3">
      <c r="A2" s="19"/>
      <c r="B2" s="24"/>
      <c r="D2" s="19"/>
      <c r="E2" s="19"/>
      <c r="F2" s="55"/>
    </row>
    <row r="3" spans="1:17" ht="18.75" x14ac:dyDescent="0.3">
      <c r="A3" s="20" t="s">
        <v>251</v>
      </c>
      <c r="C3" s="25">
        <v>301</v>
      </c>
      <c r="D3" s="19"/>
      <c r="E3" s="19"/>
      <c r="F3" s="55"/>
    </row>
    <row r="4" spans="1:17" ht="18.75" x14ac:dyDescent="0.3">
      <c r="A4" s="19"/>
      <c r="B4" s="24"/>
      <c r="D4" s="19"/>
      <c r="E4" s="19"/>
      <c r="F4" s="55"/>
    </row>
    <row r="5" spans="1:17" ht="18.75" x14ac:dyDescent="0.3">
      <c r="A5" s="20" t="s">
        <v>256</v>
      </c>
      <c r="C5" s="26" t="s">
        <v>291</v>
      </c>
      <c r="D5" s="19"/>
      <c r="E5" s="19"/>
      <c r="F5" s="55"/>
    </row>
    <row r="6" spans="1:17" ht="39.75" customHeight="1" x14ac:dyDescent="0.3">
      <c r="A6" s="20" t="s">
        <v>252</v>
      </c>
      <c r="C6" s="23">
        <v>21633</v>
      </c>
      <c r="D6" s="20" t="s">
        <v>253</v>
      </c>
      <c r="E6" s="49">
        <f>(B1-C6)/365</f>
        <v>63.794520547945204</v>
      </c>
      <c r="F6" s="48"/>
    </row>
    <row r="7" spans="1:17" ht="26.25" customHeight="1" x14ac:dyDescent="0.3">
      <c r="A7" s="20" t="s">
        <v>254</v>
      </c>
      <c r="C7" s="23">
        <v>40575</v>
      </c>
      <c r="D7" s="20" t="s">
        <v>255</v>
      </c>
      <c r="E7" s="49">
        <f>(B1-C7)/365</f>
        <v>11.898630136986302</v>
      </c>
      <c r="F7" s="48"/>
    </row>
    <row r="8" spans="1:17" x14ac:dyDescent="0.25">
      <c r="B8"/>
    </row>
    <row r="9" spans="1:17" x14ac:dyDescent="0.25">
      <c r="B9"/>
    </row>
    <row r="10" spans="1:17" ht="18.75" x14ac:dyDescent="0.3">
      <c r="A10" s="20" t="s">
        <v>257</v>
      </c>
      <c r="B10"/>
    </row>
    <row r="11" spans="1:17" ht="15.75" thickBot="1" x14ac:dyDescent="0.3"/>
    <row r="12" spans="1:17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17" ht="20.100000000000001" customHeight="1" x14ac:dyDescent="0.25">
      <c r="A13" s="32">
        <v>3038</v>
      </c>
      <c r="B13" s="60" t="s">
        <v>41</v>
      </c>
      <c r="C13" s="33"/>
      <c r="D13" s="44"/>
      <c r="E13" s="45"/>
      <c r="F13" s="34"/>
      <c r="G13" s="34">
        <v>2011</v>
      </c>
      <c r="H13" s="35">
        <v>151.66999999999999</v>
      </c>
      <c r="O13" s="18"/>
      <c r="P13" s="18"/>
      <c r="Q13" s="13"/>
    </row>
    <row r="14" spans="1:17" ht="20.100000000000001" customHeight="1" x14ac:dyDescent="0.25">
      <c r="A14" s="36">
        <v>2047</v>
      </c>
      <c r="B14" s="59" t="s">
        <v>292</v>
      </c>
      <c r="C14" s="37"/>
      <c r="D14" s="42"/>
      <c r="E14" s="46"/>
      <c r="F14" s="38"/>
      <c r="G14" s="38">
        <v>2011</v>
      </c>
      <c r="H14" s="39">
        <v>42</v>
      </c>
      <c r="O14" s="18"/>
      <c r="P14" s="18"/>
      <c r="Q14" s="13"/>
    </row>
    <row r="15" spans="1:17" ht="20.100000000000001" customHeight="1" x14ac:dyDescent="0.25">
      <c r="A15" s="36">
        <v>1020</v>
      </c>
      <c r="B15" s="59" t="s">
        <v>202</v>
      </c>
      <c r="C15" s="37"/>
      <c r="D15" s="42"/>
      <c r="E15" s="46"/>
      <c r="F15" s="38"/>
      <c r="G15" s="38">
        <v>2012</v>
      </c>
      <c r="H15" s="39">
        <v>3.5</v>
      </c>
      <c r="O15" s="18"/>
      <c r="P15" s="18"/>
      <c r="Q15" s="13"/>
    </row>
    <row r="16" spans="1:17" ht="20.100000000000001" customHeight="1" x14ac:dyDescent="0.25">
      <c r="A16" s="36">
        <v>3038</v>
      </c>
      <c r="B16" s="59" t="s">
        <v>41</v>
      </c>
      <c r="C16" s="37"/>
      <c r="D16" s="42"/>
      <c r="E16" s="46"/>
      <c r="F16" s="38"/>
      <c r="G16" s="38">
        <v>2013</v>
      </c>
      <c r="H16" s="39">
        <v>151.66999999999999</v>
      </c>
      <c r="O16" s="18"/>
      <c r="P16" s="18"/>
      <c r="Q16" s="13"/>
    </row>
    <row r="17" spans="1:18" ht="20.100000000000001" customHeight="1" x14ac:dyDescent="0.25">
      <c r="A17" s="36">
        <v>2005</v>
      </c>
      <c r="B17" s="59" t="s">
        <v>153</v>
      </c>
      <c r="C17" s="37"/>
      <c r="D17" s="42"/>
      <c r="E17" s="46"/>
      <c r="F17" s="38"/>
      <c r="G17" s="38">
        <v>2015</v>
      </c>
      <c r="H17" s="39">
        <v>2</v>
      </c>
      <c r="O17" s="18"/>
      <c r="P17" s="18"/>
      <c r="Q17" s="13"/>
    </row>
    <row r="18" spans="1:18" ht="20.100000000000001" customHeight="1" x14ac:dyDescent="0.25">
      <c r="A18" s="36">
        <v>1010</v>
      </c>
      <c r="B18" s="59" t="s">
        <v>222</v>
      </c>
      <c r="C18" s="37"/>
      <c r="D18" s="42"/>
      <c r="E18" s="46"/>
      <c r="F18" s="38"/>
      <c r="G18" s="38">
        <v>2015</v>
      </c>
      <c r="H18" s="39">
        <v>2</v>
      </c>
      <c r="O18" s="18"/>
      <c r="P18" s="18"/>
      <c r="Q18" s="13"/>
    </row>
    <row r="19" spans="1:18" ht="20.100000000000001" customHeight="1" x14ac:dyDescent="0.25">
      <c r="A19" s="36">
        <v>3038</v>
      </c>
      <c r="B19" s="59" t="s">
        <v>41</v>
      </c>
      <c r="C19" s="37"/>
      <c r="D19" s="42"/>
      <c r="E19" s="46"/>
      <c r="F19" s="38"/>
      <c r="G19" s="38">
        <v>2015</v>
      </c>
      <c r="H19" s="39">
        <v>151.66999999999999</v>
      </c>
      <c r="O19" s="18"/>
      <c r="P19" s="18"/>
      <c r="Q19" s="13"/>
    </row>
    <row r="20" spans="1:18" ht="20.100000000000001" customHeight="1" x14ac:dyDescent="0.25">
      <c r="A20" s="36">
        <v>2007</v>
      </c>
      <c r="B20" s="59" t="s">
        <v>245</v>
      </c>
      <c r="C20" s="37"/>
      <c r="D20" s="42"/>
      <c r="E20" s="46"/>
      <c r="F20" s="38"/>
      <c r="G20" s="38">
        <v>2017</v>
      </c>
      <c r="H20" s="39">
        <v>2.5</v>
      </c>
      <c r="O20" s="18"/>
      <c r="P20" s="18"/>
      <c r="Q20" s="13"/>
    </row>
    <row r="21" spans="1:18" ht="20.100000000000001" customHeight="1" x14ac:dyDescent="0.25">
      <c r="A21" s="36">
        <v>3038</v>
      </c>
      <c r="B21" s="59" t="s">
        <v>41</v>
      </c>
      <c r="C21" s="37"/>
      <c r="D21" s="42"/>
      <c r="E21" s="46"/>
      <c r="F21" s="38"/>
      <c r="G21" s="38">
        <v>2017</v>
      </c>
      <c r="H21" s="39">
        <v>151.66999999999999</v>
      </c>
      <c r="O21" s="18"/>
      <c r="P21" s="18"/>
      <c r="Q21" s="13"/>
    </row>
    <row r="22" spans="1:18" ht="20.100000000000001" customHeight="1" x14ac:dyDescent="0.25">
      <c r="A22" s="36">
        <v>3001</v>
      </c>
      <c r="B22" s="59" t="s">
        <v>23</v>
      </c>
      <c r="C22" s="37"/>
      <c r="D22" s="42"/>
      <c r="E22" s="46"/>
      <c r="F22" s="38"/>
      <c r="G22" s="38">
        <v>2018</v>
      </c>
      <c r="H22" s="39">
        <v>151.66999999999999</v>
      </c>
      <c r="O22" s="18"/>
      <c r="P22" s="18"/>
      <c r="Q22" s="13"/>
    </row>
    <row r="23" spans="1:18" ht="20.100000000000001" customHeight="1" x14ac:dyDescent="0.25">
      <c r="A23" s="36">
        <v>1020</v>
      </c>
      <c r="B23" s="59" t="s">
        <v>202</v>
      </c>
      <c r="C23" s="37"/>
      <c r="D23" s="42"/>
      <c r="E23" s="46"/>
      <c r="F23" s="38"/>
      <c r="G23" s="38">
        <v>2018</v>
      </c>
      <c r="H23" s="39">
        <v>3.5</v>
      </c>
      <c r="O23" s="18"/>
      <c r="P23" s="18"/>
      <c r="Q23" s="13"/>
    </row>
    <row r="24" spans="1:18" ht="20.100000000000001" customHeight="1" x14ac:dyDescent="0.25">
      <c r="A24" s="36">
        <v>3001</v>
      </c>
      <c r="B24" s="59" t="s">
        <v>23</v>
      </c>
      <c r="C24" s="37"/>
      <c r="D24" s="42"/>
      <c r="E24" s="46"/>
      <c r="F24" s="38"/>
      <c r="G24" s="38">
        <v>2019</v>
      </c>
      <c r="H24" s="39">
        <v>151.66999999999999</v>
      </c>
      <c r="O24" s="18"/>
      <c r="P24" s="18"/>
      <c r="Q24" s="13"/>
    </row>
    <row r="25" spans="1:18" ht="20.100000000000001" customHeight="1" x14ac:dyDescent="0.25">
      <c r="A25" s="36">
        <v>3038</v>
      </c>
      <c r="B25" s="59" t="s">
        <v>41</v>
      </c>
      <c r="C25" s="37"/>
      <c r="D25" s="42"/>
      <c r="E25" s="46"/>
      <c r="F25" s="38"/>
      <c r="G25" s="38">
        <v>2019</v>
      </c>
      <c r="H25" s="39">
        <v>151.66999999999999</v>
      </c>
      <c r="O25" s="18"/>
      <c r="P25" s="18"/>
      <c r="Q25" s="13"/>
    </row>
    <row r="26" spans="1:18" ht="20.100000000000001" customHeight="1" x14ac:dyDescent="0.25">
      <c r="A26" s="36"/>
      <c r="B26" s="59"/>
      <c r="C26" s="37"/>
      <c r="D26" s="42"/>
      <c r="E26" s="46"/>
      <c r="F26" s="38"/>
      <c r="G26" s="38"/>
      <c r="H26" s="39"/>
      <c r="O26" s="18"/>
      <c r="P26" s="18"/>
      <c r="Q26" s="13"/>
    </row>
    <row r="27" spans="1:18" ht="20.100000000000001" customHeight="1" x14ac:dyDescent="0.25">
      <c r="A27" s="36"/>
      <c r="B27" s="59"/>
      <c r="C27" s="37"/>
      <c r="D27" s="42"/>
      <c r="E27" s="46"/>
      <c r="F27" s="38"/>
      <c r="G27" s="38"/>
      <c r="H27" s="39"/>
      <c r="O27" s="18"/>
      <c r="P27" s="18"/>
      <c r="Q27" s="13"/>
      <c r="R27" s="15"/>
    </row>
    <row r="28" spans="1:18" ht="20.100000000000001" customHeight="1" x14ac:dyDescent="0.25">
      <c r="A28" s="36"/>
      <c r="B28" s="59"/>
      <c r="C28" s="37"/>
      <c r="D28" s="42"/>
      <c r="E28" s="46"/>
      <c r="F28" s="38"/>
      <c r="G28" s="38"/>
      <c r="H28" s="39"/>
      <c r="Q28" s="13"/>
    </row>
    <row r="29" spans="1:18" ht="20.100000000000001" customHeight="1" x14ac:dyDescent="0.25">
      <c r="A29" s="36"/>
      <c r="B29" s="59"/>
      <c r="C29" s="37"/>
      <c r="D29" s="42"/>
      <c r="E29" s="46"/>
      <c r="F29" s="38"/>
      <c r="G29" s="38"/>
      <c r="H29" s="39"/>
      <c r="Q29" s="13"/>
    </row>
    <row r="30" spans="1:18" ht="20.100000000000001" customHeight="1" x14ac:dyDescent="0.25">
      <c r="A30" s="36"/>
      <c r="B30" s="59"/>
      <c r="C30" s="37"/>
      <c r="D30" s="42"/>
      <c r="E30" s="46"/>
      <c r="F30" s="38"/>
      <c r="G30" s="38"/>
      <c r="H30" s="39"/>
      <c r="Q30" s="13"/>
    </row>
    <row r="31" spans="1:18" ht="20.100000000000001" customHeight="1" x14ac:dyDescent="0.25">
      <c r="A31" s="36"/>
      <c r="B31" s="59"/>
      <c r="C31" s="37"/>
      <c r="D31" s="42"/>
      <c r="E31" s="46"/>
      <c r="F31" s="38"/>
      <c r="G31" s="38"/>
      <c r="H31" s="39"/>
      <c r="Q31" s="13"/>
    </row>
    <row r="32" spans="1:18" ht="20.100000000000001" customHeight="1" x14ac:dyDescent="0.25">
      <c r="A32" s="36"/>
      <c r="B32" s="59"/>
      <c r="C32" s="37"/>
      <c r="D32" s="42"/>
      <c r="E32" s="46"/>
      <c r="F32" s="38"/>
      <c r="G32" s="38"/>
      <c r="H32" s="39"/>
      <c r="Q32" s="13"/>
    </row>
    <row r="33" spans="1:17" ht="20.100000000000001" customHeight="1" x14ac:dyDescent="0.25">
      <c r="A33" s="36"/>
      <c r="B33" s="59"/>
      <c r="C33" s="37"/>
      <c r="D33" s="42"/>
      <c r="E33" s="46"/>
      <c r="F33" s="38"/>
      <c r="G33" s="38"/>
      <c r="H33" s="39"/>
      <c r="Q33" s="13"/>
    </row>
    <row r="34" spans="1:17" ht="20.100000000000001" customHeight="1" x14ac:dyDescent="0.25">
      <c r="A34" s="36"/>
      <c r="B34" s="59"/>
      <c r="C34" s="37"/>
      <c r="D34" s="42"/>
      <c r="E34" s="46"/>
      <c r="F34" s="38"/>
      <c r="G34" s="38"/>
      <c r="H34" s="39"/>
      <c r="Q34" s="13"/>
    </row>
    <row r="35" spans="1:17" ht="20.100000000000001" customHeight="1" x14ac:dyDescent="0.25">
      <c r="A35" s="36"/>
      <c r="B35" s="59"/>
      <c r="C35" s="37"/>
      <c r="D35" s="42"/>
      <c r="E35" s="46"/>
      <c r="F35" s="38"/>
      <c r="G35" s="38"/>
      <c r="H35" s="39"/>
      <c r="Q35" s="13"/>
    </row>
    <row r="36" spans="1:17" ht="20.100000000000001" customHeight="1" x14ac:dyDescent="0.25">
      <c r="A36" s="36"/>
      <c r="B36" s="59"/>
      <c r="C36" s="37"/>
      <c r="D36" s="42"/>
      <c r="E36" s="46"/>
      <c r="F36" s="38"/>
      <c r="G36" s="38"/>
      <c r="H36" s="39"/>
      <c r="Q36" s="13"/>
    </row>
    <row r="37" spans="1:17" ht="20.100000000000001" customHeight="1" x14ac:dyDescent="0.25">
      <c r="A37" s="36"/>
      <c r="B37" s="37"/>
      <c r="C37" s="37"/>
      <c r="D37" s="42"/>
      <c r="E37" s="46"/>
      <c r="F37" s="38"/>
      <c r="G37" s="38"/>
      <c r="H37" s="39"/>
      <c r="Q37" s="13"/>
    </row>
    <row r="38" spans="1:17" ht="20.100000000000001" customHeight="1" x14ac:dyDescent="0.25">
      <c r="A38" s="36"/>
      <c r="B38" s="37"/>
      <c r="C38" s="37"/>
      <c r="D38" s="42"/>
      <c r="E38" s="46"/>
      <c r="F38" s="38"/>
      <c r="G38" s="38"/>
      <c r="H38" s="39"/>
      <c r="Q38" s="13"/>
    </row>
    <row r="39" spans="1:17" ht="20.100000000000001" customHeight="1" x14ac:dyDescent="0.25">
      <c r="A39" s="36"/>
      <c r="B39" s="37"/>
      <c r="C39" s="37"/>
      <c r="D39" s="42"/>
      <c r="E39" s="46"/>
      <c r="F39" s="38"/>
      <c r="G39" s="38"/>
      <c r="H39" s="39"/>
      <c r="Q39" s="13"/>
    </row>
    <row r="40" spans="1:17" ht="20.100000000000001" customHeight="1" x14ac:dyDescent="0.25">
      <c r="A40" s="36"/>
      <c r="B40" s="37"/>
      <c r="C40" s="37"/>
      <c r="D40" s="42"/>
      <c r="E40" s="46"/>
      <c r="F40" s="38"/>
      <c r="G40" s="38"/>
      <c r="H40" s="39"/>
      <c r="Q40" s="13"/>
    </row>
    <row r="41" spans="1:17" ht="20.100000000000001" customHeight="1" x14ac:dyDescent="0.25">
      <c r="A41" s="36"/>
      <c r="B41" s="37"/>
      <c r="C41" s="37"/>
      <c r="D41" s="42"/>
      <c r="E41" s="46"/>
      <c r="F41" s="38"/>
      <c r="G41" s="38"/>
      <c r="H41" s="39"/>
      <c r="Q41" s="13"/>
    </row>
    <row r="42" spans="1:17" ht="20.100000000000001" customHeight="1" x14ac:dyDescent="0.25">
      <c r="A42" s="36"/>
      <c r="B42" s="37"/>
      <c r="C42" s="37"/>
      <c r="D42" s="42"/>
      <c r="E42" s="46"/>
      <c r="F42" s="38"/>
      <c r="G42" s="38"/>
      <c r="H42" s="39"/>
      <c r="Q42" s="13"/>
    </row>
    <row r="43" spans="1:17" ht="20.100000000000001" customHeight="1" x14ac:dyDescent="0.25">
      <c r="A43" s="36"/>
      <c r="B43" s="37"/>
      <c r="C43" s="37"/>
      <c r="D43" s="42"/>
      <c r="E43" s="46"/>
      <c r="F43" s="38"/>
      <c r="G43" s="38"/>
      <c r="H43" s="39"/>
      <c r="Q43" s="13"/>
    </row>
    <row r="44" spans="1:17" ht="20.100000000000001" customHeight="1" x14ac:dyDescent="0.25">
      <c r="A44" s="36"/>
      <c r="B44" s="37"/>
      <c r="C44" s="37"/>
      <c r="D44" s="42"/>
      <c r="E44" s="46"/>
      <c r="F44" s="38"/>
      <c r="G44" s="38"/>
      <c r="H44" s="39"/>
      <c r="Q44" s="13"/>
    </row>
    <row r="45" spans="1:17" ht="20.100000000000001" customHeight="1" x14ac:dyDescent="0.25">
      <c r="A45" s="36"/>
      <c r="B45" s="37"/>
      <c r="C45" s="37"/>
      <c r="D45" s="42"/>
      <c r="E45" s="46"/>
      <c r="F45" s="38"/>
      <c r="G45" s="38"/>
      <c r="H45" s="39"/>
      <c r="Q45" s="13"/>
    </row>
    <row r="46" spans="1:17" ht="20.100000000000001" customHeight="1" x14ac:dyDescent="0.25">
      <c r="A46" s="36"/>
      <c r="B46" s="37"/>
      <c r="C46" s="37"/>
      <c r="D46" s="42"/>
      <c r="E46" s="46"/>
      <c r="F46" s="38"/>
      <c r="G46" s="38"/>
      <c r="H46" s="39"/>
      <c r="Q46" s="13"/>
    </row>
    <row r="47" spans="1:17" ht="20.100000000000001" customHeight="1" x14ac:dyDescent="0.25">
      <c r="A47" s="36"/>
      <c r="B47" s="37"/>
      <c r="C47" s="37"/>
      <c r="D47" s="42"/>
      <c r="E47" s="46"/>
      <c r="F47" s="38"/>
      <c r="G47" s="38"/>
      <c r="H47" s="39"/>
      <c r="Q47" s="13"/>
    </row>
    <row r="48" spans="1:17" ht="20.100000000000001" customHeight="1" x14ac:dyDescent="0.25">
      <c r="A48" s="36"/>
      <c r="B48" s="37"/>
      <c r="C48" s="37"/>
      <c r="D48" s="42"/>
      <c r="E48" s="46"/>
      <c r="F48" s="38"/>
      <c r="G48" s="38"/>
      <c r="H48" s="39"/>
      <c r="Q48" s="13"/>
    </row>
    <row r="49" spans="1:17" ht="20.100000000000001" customHeight="1" x14ac:dyDescent="0.25">
      <c r="A49" s="36"/>
      <c r="B49" s="37"/>
      <c r="C49" s="37"/>
      <c r="D49" s="42"/>
      <c r="E49" s="46"/>
      <c r="F49" s="38"/>
      <c r="G49" s="38"/>
      <c r="H49" s="39"/>
      <c r="Q49" s="13"/>
    </row>
    <row r="50" spans="1:17" ht="20.100000000000001" customHeight="1" x14ac:dyDescent="0.25">
      <c r="A50" s="36"/>
      <c r="B50" s="37"/>
      <c r="C50" s="37"/>
      <c r="D50" s="42"/>
      <c r="E50" s="46"/>
      <c r="F50" s="38"/>
      <c r="G50" s="38"/>
      <c r="H50" s="39"/>
      <c r="Q50" s="13"/>
    </row>
    <row r="51" spans="1:17" ht="20.100000000000001" customHeight="1" x14ac:dyDescent="0.25">
      <c r="A51" s="36"/>
      <c r="B51" s="37"/>
      <c r="C51" s="37"/>
      <c r="D51" s="42"/>
      <c r="E51" s="46"/>
      <c r="F51" s="38"/>
      <c r="G51" s="38"/>
      <c r="H51" s="39"/>
      <c r="Q51" s="13"/>
    </row>
    <row r="52" spans="1:17" ht="20.100000000000001" customHeight="1" x14ac:dyDescent="0.25">
      <c r="A52" s="36"/>
      <c r="B52" s="37"/>
      <c r="C52" s="37"/>
      <c r="D52" s="42"/>
      <c r="E52" s="46"/>
      <c r="F52" s="38"/>
      <c r="G52" s="38"/>
      <c r="H52" s="39"/>
      <c r="Q52" s="13"/>
    </row>
    <row r="53" spans="1:17" ht="15.75" thickBot="1" x14ac:dyDescent="0.3">
      <c r="A53" s="30"/>
      <c r="B53" s="27"/>
      <c r="C53" s="28"/>
      <c r="D53" s="31"/>
      <c r="E53" s="47"/>
      <c r="F53" s="57"/>
      <c r="G53" s="57"/>
      <c r="H53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53"/>
  <sheetViews>
    <sheetView workbookViewId="0">
      <selection activeCell="G14" sqref="G14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17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17" ht="18.75" x14ac:dyDescent="0.3">
      <c r="A2" s="19"/>
      <c r="B2" s="24"/>
      <c r="D2" s="19"/>
      <c r="E2" s="19"/>
      <c r="F2" s="55"/>
    </row>
    <row r="3" spans="1:17" ht="18.75" x14ac:dyDescent="0.3">
      <c r="A3" s="20" t="s">
        <v>251</v>
      </c>
      <c r="C3" s="25">
        <v>455</v>
      </c>
      <c r="D3" s="19"/>
      <c r="E3" s="19"/>
      <c r="F3" s="55"/>
    </row>
    <row r="4" spans="1:17" ht="18.75" x14ac:dyDescent="0.3">
      <c r="A4" s="19"/>
      <c r="B4" s="24"/>
      <c r="D4" s="19"/>
      <c r="E4" s="19"/>
      <c r="F4" s="55"/>
    </row>
    <row r="5" spans="1:17" ht="18.75" x14ac:dyDescent="0.3">
      <c r="A5" s="20" t="s">
        <v>256</v>
      </c>
      <c r="C5" s="26" t="str">
        <f>VLOOKUP(C3,'Liste salariés'!A3:G104,2,FALSE)</f>
        <v>DAVIES Edouard</v>
      </c>
      <c r="D5" s="19"/>
      <c r="E5" s="19"/>
      <c r="F5" s="55"/>
    </row>
    <row r="6" spans="1:17" ht="39.75" customHeight="1" x14ac:dyDescent="0.3">
      <c r="A6" s="20" t="s">
        <v>252</v>
      </c>
      <c r="C6" s="23">
        <f>VLOOKUP(C3,'Liste salariés'!A3:J103,6,FALSE)</f>
        <v>27052</v>
      </c>
      <c r="D6" s="20" t="s">
        <v>253</v>
      </c>
      <c r="E6" s="49">
        <f ca="1">(B1-C6)/365</f>
        <v>52.164383561643838</v>
      </c>
      <c r="F6" s="48"/>
    </row>
    <row r="7" spans="1:17" ht="26.25" customHeight="1" x14ac:dyDescent="0.3">
      <c r="A7" s="20" t="s">
        <v>254</v>
      </c>
      <c r="C7" s="23">
        <f>VLOOKUP(C3,'Liste salariés'!A3:J105,3,FALSE)</f>
        <v>44795</v>
      </c>
      <c r="D7" s="20" t="s">
        <v>255</v>
      </c>
      <c r="E7" s="49">
        <f ca="1">(B1-C7)/365</f>
        <v>3.5534246575342467</v>
      </c>
      <c r="F7" s="48"/>
    </row>
    <row r="8" spans="1:17" x14ac:dyDescent="0.25">
      <c r="B8"/>
    </row>
    <row r="9" spans="1:17" x14ac:dyDescent="0.25">
      <c r="B9"/>
    </row>
    <row r="10" spans="1:17" ht="18.75" x14ac:dyDescent="0.3">
      <c r="A10" s="20" t="s">
        <v>257</v>
      </c>
      <c r="B10"/>
    </row>
    <row r="11" spans="1:17" ht="15.75" thickBot="1" x14ac:dyDescent="0.3"/>
    <row r="12" spans="1:17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17" ht="20.100000000000001" customHeight="1" x14ac:dyDescent="0.25">
      <c r="A13" s="32">
        <v>3010</v>
      </c>
      <c r="B13" s="60" t="s">
        <v>35</v>
      </c>
      <c r="C13" s="33"/>
      <c r="D13" s="44"/>
      <c r="E13" s="45"/>
      <c r="F13" s="34"/>
      <c r="G13" s="34">
        <v>2022</v>
      </c>
      <c r="H13" s="35">
        <v>151.66999999999999</v>
      </c>
      <c r="O13" s="18"/>
      <c r="P13" s="18"/>
      <c r="Q13" s="13"/>
    </row>
    <row r="14" spans="1:17" ht="20.100000000000001" customHeight="1" x14ac:dyDescent="0.25">
      <c r="A14" s="36">
        <v>1004</v>
      </c>
      <c r="B14" s="59" t="s">
        <v>206</v>
      </c>
      <c r="C14" s="37"/>
      <c r="D14" s="42"/>
      <c r="E14" s="46"/>
      <c r="F14" s="38"/>
      <c r="G14" s="38">
        <v>2023</v>
      </c>
      <c r="H14" s="39">
        <v>10.5</v>
      </c>
      <c r="O14" s="18"/>
      <c r="P14" s="18"/>
      <c r="Q14" s="13"/>
    </row>
    <row r="15" spans="1:17" ht="20.100000000000001" customHeight="1" x14ac:dyDescent="0.25">
      <c r="A15" s="36">
        <v>3038</v>
      </c>
      <c r="B15" s="59" t="s">
        <v>41</v>
      </c>
      <c r="C15" s="37"/>
      <c r="D15" s="42"/>
      <c r="E15" s="46"/>
      <c r="F15" s="38"/>
      <c r="G15" s="38">
        <v>2023</v>
      </c>
      <c r="H15" s="39">
        <v>151.66999999999999</v>
      </c>
      <c r="O15" s="18"/>
      <c r="P15" s="18"/>
      <c r="Q15" s="13"/>
    </row>
    <row r="16" spans="1:17" ht="20.100000000000001" customHeight="1" x14ac:dyDescent="0.25">
      <c r="A16" s="36">
        <v>1008</v>
      </c>
      <c r="B16" s="59" t="s">
        <v>241</v>
      </c>
      <c r="C16" s="37"/>
      <c r="D16" s="42"/>
      <c r="E16" s="46"/>
      <c r="F16" s="38"/>
      <c r="G16" s="38">
        <v>2024</v>
      </c>
      <c r="H16" s="39">
        <v>2</v>
      </c>
      <c r="O16" s="18"/>
      <c r="P16" s="18"/>
      <c r="Q16" s="13"/>
    </row>
    <row r="17" spans="1:18" ht="20.100000000000001" customHeight="1" x14ac:dyDescent="0.25">
      <c r="A17" s="36">
        <v>1009</v>
      </c>
      <c r="B17" s="59" t="s">
        <v>221</v>
      </c>
      <c r="C17" s="37"/>
      <c r="D17" s="42"/>
      <c r="E17" s="46"/>
      <c r="F17" s="38"/>
      <c r="G17" s="38">
        <v>2024</v>
      </c>
      <c r="H17" s="39">
        <v>2</v>
      </c>
      <c r="O17" s="18"/>
      <c r="P17" s="18"/>
      <c r="Q17" s="13"/>
    </row>
    <row r="18" spans="1:18" ht="20.100000000000001" customHeight="1" x14ac:dyDescent="0.25">
      <c r="A18" s="36">
        <v>1016</v>
      </c>
      <c r="B18" s="59" t="s">
        <v>207</v>
      </c>
      <c r="C18" s="37"/>
      <c r="D18" s="42"/>
      <c r="E18" s="46"/>
      <c r="F18" s="38"/>
      <c r="G18" s="38">
        <v>2024</v>
      </c>
      <c r="H18" s="39">
        <v>14</v>
      </c>
      <c r="O18" s="18"/>
      <c r="P18" s="18"/>
      <c r="Q18" s="13"/>
    </row>
    <row r="19" spans="1:18" ht="20.100000000000001" customHeight="1" x14ac:dyDescent="0.25">
      <c r="A19" s="36">
        <v>3001</v>
      </c>
      <c r="B19" s="59" t="s">
        <v>23</v>
      </c>
      <c r="C19" s="37"/>
      <c r="D19" s="42"/>
      <c r="E19" s="46"/>
      <c r="F19" s="38"/>
      <c r="G19" s="38">
        <v>2024</v>
      </c>
      <c r="H19" s="39">
        <v>151.66999999999999</v>
      </c>
      <c r="O19" s="18"/>
      <c r="P19" s="18"/>
      <c r="Q19" s="13"/>
    </row>
    <row r="20" spans="1:18" ht="20.100000000000001" customHeight="1" x14ac:dyDescent="0.25">
      <c r="A20" s="36"/>
      <c r="B20" s="59"/>
      <c r="C20" s="37"/>
      <c r="D20" s="42"/>
      <c r="E20" s="46"/>
      <c r="F20" s="38"/>
      <c r="G20" s="38"/>
      <c r="H20" s="39"/>
      <c r="O20" s="18"/>
      <c r="P20" s="18"/>
      <c r="Q20" s="13"/>
    </row>
    <row r="21" spans="1:18" ht="20.100000000000001" customHeight="1" x14ac:dyDescent="0.25">
      <c r="A21" s="36"/>
      <c r="B21" s="59"/>
      <c r="C21" s="37"/>
      <c r="D21" s="42"/>
      <c r="E21" s="46"/>
      <c r="F21" s="38"/>
      <c r="G21" s="38"/>
      <c r="H21" s="39"/>
      <c r="O21" s="18"/>
      <c r="P21" s="18"/>
      <c r="Q21" s="13"/>
    </row>
    <row r="22" spans="1:18" ht="20.100000000000001" customHeight="1" x14ac:dyDescent="0.25">
      <c r="A22" s="36"/>
      <c r="B22" s="59"/>
      <c r="C22" s="37"/>
      <c r="D22" s="42"/>
      <c r="E22" s="46"/>
      <c r="F22" s="38"/>
      <c r="G22" s="38"/>
      <c r="H22" s="39"/>
      <c r="O22" s="18"/>
      <c r="P22" s="18"/>
      <c r="Q22" s="13"/>
    </row>
    <row r="23" spans="1:18" ht="20.100000000000001" customHeight="1" x14ac:dyDescent="0.25">
      <c r="A23" s="36"/>
      <c r="B23" s="59"/>
      <c r="C23" s="37"/>
      <c r="D23" s="42"/>
      <c r="E23" s="46"/>
      <c r="F23" s="38"/>
      <c r="G23" s="38"/>
      <c r="H23" s="39"/>
      <c r="O23" s="18"/>
      <c r="P23" s="18"/>
      <c r="Q23" s="13"/>
      <c r="R23" s="15"/>
    </row>
    <row r="24" spans="1:18" ht="20.100000000000001" customHeight="1" x14ac:dyDescent="0.25">
      <c r="A24" s="36"/>
      <c r="B24" s="59"/>
      <c r="C24" s="37"/>
      <c r="D24" s="42"/>
      <c r="E24" s="46"/>
      <c r="F24" s="38"/>
      <c r="G24" s="38"/>
      <c r="H24" s="39"/>
      <c r="Q24" s="13"/>
    </row>
    <row r="25" spans="1:18" ht="20.100000000000001" customHeight="1" x14ac:dyDescent="0.25">
      <c r="A25" s="36"/>
      <c r="B25" s="59"/>
      <c r="C25" s="37"/>
      <c r="D25" s="42"/>
      <c r="E25" s="46"/>
      <c r="F25" s="38"/>
      <c r="G25" s="38"/>
      <c r="H25" s="39"/>
      <c r="Q25" s="13"/>
    </row>
    <row r="26" spans="1:18" ht="20.100000000000001" customHeight="1" x14ac:dyDescent="0.25">
      <c r="A26" s="36"/>
      <c r="B26" s="59"/>
      <c r="C26" s="37"/>
      <c r="D26" s="42"/>
      <c r="E26" s="46"/>
      <c r="F26" s="38"/>
      <c r="G26" s="38"/>
      <c r="H26" s="39"/>
      <c r="Q26" s="13"/>
    </row>
    <row r="27" spans="1:18" ht="20.100000000000001" customHeight="1" x14ac:dyDescent="0.25">
      <c r="A27" s="36"/>
      <c r="B27" s="59"/>
      <c r="C27" s="37"/>
      <c r="D27" s="42"/>
      <c r="E27" s="46"/>
      <c r="F27" s="38"/>
      <c r="G27" s="38"/>
      <c r="H27" s="39"/>
      <c r="Q27" s="13"/>
    </row>
    <row r="28" spans="1:18" ht="20.100000000000001" customHeight="1" x14ac:dyDescent="0.25">
      <c r="A28" s="36"/>
      <c r="B28" s="59"/>
      <c r="C28" s="37"/>
      <c r="D28" s="42"/>
      <c r="E28" s="46"/>
      <c r="F28" s="38"/>
      <c r="G28" s="38"/>
      <c r="H28" s="39"/>
      <c r="Q28" s="13"/>
    </row>
    <row r="29" spans="1:18" ht="20.100000000000001" customHeight="1" x14ac:dyDescent="0.25">
      <c r="A29" s="36"/>
      <c r="B29" s="59"/>
      <c r="C29" s="37"/>
      <c r="D29" s="42"/>
      <c r="E29" s="46"/>
      <c r="F29" s="38"/>
      <c r="G29" s="38"/>
      <c r="H29" s="39"/>
      <c r="Q29" s="13"/>
    </row>
    <row r="30" spans="1:18" ht="20.100000000000001" customHeight="1" x14ac:dyDescent="0.25">
      <c r="A30" s="36"/>
      <c r="B30" s="59"/>
      <c r="C30" s="37"/>
      <c r="D30" s="42"/>
      <c r="E30" s="46"/>
      <c r="F30" s="38"/>
      <c r="G30" s="38"/>
      <c r="H30" s="39"/>
      <c r="Q30" s="13"/>
    </row>
    <row r="31" spans="1:18" ht="20.100000000000001" customHeight="1" x14ac:dyDescent="0.25">
      <c r="A31" s="36"/>
      <c r="B31" s="59"/>
      <c r="C31" s="37"/>
      <c r="D31" s="42"/>
      <c r="E31" s="46"/>
      <c r="F31" s="38"/>
      <c r="G31" s="38"/>
      <c r="H31" s="39"/>
      <c r="Q31" s="13"/>
    </row>
    <row r="32" spans="1:18" ht="20.100000000000001" customHeight="1" x14ac:dyDescent="0.25">
      <c r="A32" s="36"/>
      <c r="B32" s="59"/>
      <c r="C32" s="37"/>
      <c r="D32" s="42"/>
      <c r="E32" s="46"/>
      <c r="F32" s="38"/>
      <c r="G32" s="38"/>
      <c r="H32" s="39"/>
      <c r="Q32" s="13"/>
    </row>
    <row r="33" spans="1:17" ht="20.100000000000001" customHeight="1" x14ac:dyDescent="0.25">
      <c r="A33" s="36"/>
      <c r="B33" s="37"/>
      <c r="C33" s="37"/>
      <c r="D33" s="42"/>
      <c r="E33" s="46"/>
      <c r="F33" s="38"/>
      <c r="G33" s="38"/>
      <c r="H33" s="39"/>
      <c r="Q33" s="13"/>
    </row>
    <row r="34" spans="1:17" ht="20.100000000000001" customHeight="1" x14ac:dyDescent="0.25">
      <c r="A34" s="36"/>
      <c r="B34" s="37"/>
      <c r="C34" s="37"/>
      <c r="D34" s="42"/>
      <c r="E34" s="46"/>
      <c r="F34" s="38"/>
      <c r="G34" s="38"/>
      <c r="H34" s="39"/>
      <c r="Q34" s="13"/>
    </row>
    <row r="35" spans="1:17" ht="20.100000000000001" customHeight="1" x14ac:dyDescent="0.25">
      <c r="A35" s="36"/>
      <c r="B35" s="37"/>
      <c r="C35" s="37"/>
      <c r="D35" s="42"/>
      <c r="E35" s="46"/>
      <c r="F35" s="38"/>
      <c r="G35" s="38"/>
      <c r="H35" s="39"/>
      <c r="Q35" s="13"/>
    </row>
    <row r="36" spans="1:17" ht="20.100000000000001" customHeight="1" x14ac:dyDescent="0.25">
      <c r="A36" s="36"/>
      <c r="B36" s="37"/>
      <c r="C36" s="37"/>
      <c r="D36" s="42"/>
      <c r="E36" s="46"/>
      <c r="F36" s="38"/>
      <c r="G36" s="38"/>
      <c r="H36" s="39"/>
      <c r="Q36" s="13"/>
    </row>
    <row r="37" spans="1:17" ht="20.100000000000001" customHeight="1" x14ac:dyDescent="0.25">
      <c r="A37" s="36"/>
      <c r="B37" s="37"/>
      <c r="C37" s="37"/>
      <c r="D37" s="42"/>
      <c r="E37" s="46"/>
      <c r="F37" s="38"/>
      <c r="G37" s="38"/>
      <c r="H37" s="39"/>
      <c r="Q37" s="13"/>
    </row>
    <row r="38" spans="1:17" ht="20.100000000000001" customHeight="1" x14ac:dyDescent="0.25">
      <c r="A38" s="36"/>
      <c r="B38" s="37"/>
      <c r="C38" s="37"/>
      <c r="D38" s="42"/>
      <c r="E38" s="46"/>
      <c r="F38" s="38"/>
      <c r="G38" s="38"/>
      <c r="H38" s="39"/>
      <c r="Q38" s="13"/>
    </row>
    <row r="39" spans="1:17" ht="20.100000000000001" customHeight="1" x14ac:dyDescent="0.25">
      <c r="A39" s="36"/>
      <c r="B39" s="37"/>
      <c r="C39" s="37"/>
      <c r="D39" s="42"/>
      <c r="E39" s="46"/>
      <c r="F39" s="38"/>
      <c r="G39" s="38"/>
      <c r="H39" s="39"/>
      <c r="Q39" s="13"/>
    </row>
    <row r="40" spans="1:17" ht="20.100000000000001" customHeight="1" x14ac:dyDescent="0.25">
      <c r="A40" s="36"/>
      <c r="B40" s="37"/>
      <c r="C40" s="37"/>
      <c r="D40" s="42"/>
      <c r="E40" s="46"/>
      <c r="F40" s="38"/>
      <c r="G40" s="38"/>
      <c r="H40" s="39"/>
      <c r="Q40" s="13"/>
    </row>
    <row r="41" spans="1:17" ht="20.100000000000001" customHeight="1" x14ac:dyDescent="0.25">
      <c r="A41" s="36"/>
      <c r="B41" s="37"/>
      <c r="C41" s="37"/>
      <c r="D41" s="42"/>
      <c r="E41" s="46"/>
      <c r="F41" s="38"/>
      <c r="G41" s="38"/>
      <c r="H41" s="39"/>
      <c r="Q41" s="13"/>
    </row>
    <row r="42" spans="1:17" ht="20.100000000000001" customHeight="1" x14ac:dyDescent="0.25">
      <c r="A42" s="36"/>
      <c r="B42" s="37"/>
      <c r="C42" s="37"/>
      <c r="D42" s="42"/>
      <c r="E42" s="46"/>
      <c r="F42" s="38"/>
      <c r="G42" s="38"/>
      <c r="H42" s="39"/>
      <c r="Q42" s="13"/>
    </row>
    <row r="43" spans="1:17" ht="20.100000000000001" customHeight="1" x14ac:dyDescent="0.25">
      <c r="A43" s="36"/>
      <c r="B43" s="37"/>
      <c r="C43" s="37"/>
      <c r="D43" s="42"/>
      <c r="E43" s="46"/>
      <c r="F43" s="38"/>
      <c r="G43" s="38"/>
      <c r="H43" s="39"/>
      <c r="Q43" s="13"/>
    </row>
    <row r="44" spans="1:17" ht="20.100000000000001" customHeight="1" x14ac:dyDescent="0.25">
      <c r="A44" s="36"/>
      <c r="B44" s="37"/>
      <c r="C44" s="37"/>
      <c r="D44" s="42"/>
      <c r="E44" s="46"/>
      <c r="F44" s="38"/>
      <c r="G44" s="38"/>
      <c r="H44" s="39"/>
      <c r="Q44" s="13"/>
    </row>
    <row r="45" spans="1:17" ht="20.100000000000001" customHeight="1" x14ac:dyDescent="0.25">
      <c r="A45" s="36"/>
      <c r="B45" s="37"/>
      <c r="C45" s="37"/>
      <c r="D45" s="42"/>
      <c r="E45" s="46"/>
      <c r="F45" s="38"/>
      <c r="G45" s="38"/>
      <c r="H45" s="39"/>
      <c r="Q45" s="13"/>
    </row>
    <row r="46" spans="1:17" ht="20.100000000000001" customHeight="1" x14ac:dyDescent="0.25">
      <c r="A46" s="36"/>
      <c r="B46" s="37"/>
      <c r="C46" s="37"/>
      <c r="D46" s="42"/>
      <c r="E46" s="46"/>
      <c r="F46" s="38"/>
      <c r="G46" s="38"/>
      <c r="H46" s="39"/>
      <c r="Q46" s="13"/>
    </row>
    <row r="47" spans="1:17" ht="20.100000000000001" customHeight="1" x14ac:dyDescent="0.25">
      <c r="A47" s="36"/>
      <c r="B47" s="37"/>
      <c r="C47" s="37"/>
      <c r="D47" s="42"/>
      <c r="E47" s="46"/>
      <c r="F47" s="38"/>
      <c r="G47" s="38"/>
      <c r="H47" s="39"/>
      <c r="Q47" s="13"/>
    </row>
    <row r="48" spans="1:17" ht="20.100000000000001" customHeight="1" x14ac:dyDescent="0.25">
      <c r="A48" s="36"/>
      <c r="B48" s="37"/>
      <c r="C48" s="37"/>
      <c r="D48" s="42"/>
      <c r="E48" s="46"/>
      <c r="F48" s="38"/>
      <c r="G48" s="38"/>
      <c r="H48" s="39"/>
      <c r="Q48" s="13"/>
    </row>
    <row r="49" spans="1:17" ht="20.100000000000001" customHeight="1" x14ac:dyDescent="0.25">
      <c r="A49" s="36"/>
      <c r="B49" s="37"/>
      <c r="C49" s="37"/>
      <c r="D49" s="42"/>
      <c r="E49" s="46"/>
      <c r="F49" s="38"/>
      <c r="G49" s="38"/>
      <c r="H49" s="39"/>
      <c r="Q49" s="13"/>
    </row>
    <row r="50" spans="1:17" ht="20.100000000000001" customHeight="1" x14ac:dyDescent="0.25">
      <c r="A50" s="36"/>
      <c r="B50" s="37"/>
      <c r="C50" s="37"/>
      <c r="D50" s="42"/>
      <c r="E50" s="46"/>
      <c r="F50" s="38"/>
      <c r="G50" s="38"/>
      <c r="H50" s="39"/>
      <c r="Q50" s="13"/>
    </row>
    <row r="51" spans="1:17" ht="20.100000000000001" customHeight="1" x14ac:dyDescent="0.25">
      <c r="A51" s="36"/>
      <c r="B51" s="37"/>
      <c r="C51" s="37"/>
      <c r="D51" s="42"/>
      <c r="E51" s="46"/>
      <c r="F51" s="38"/>
      <c r="G51" s="38"/>
      <c r="H51" s="39"/>
      <c r="Q51" s="13"/>
    </row>
    <row r="52" spans="1:17" ht="20.100000000000001" customHeight="1" x14ac:dyDescent="0.25">
      <c r="A52" s="36"/>
      <c r="B52" s="37"/>
      <c r="C52" s="37"/>
      <c r="D52" s="42"/>
      <c r="E52" s="46"/>
      <c r="F52" s="38"/>
      <c r="G52" s="38"/>
      <c r="H52" s="39"/>
      <c r="Q52" s="13"/>
    </row>
    <row r="53" spans="1:17" ht="15.75" thickBot="1" x14ac:dyDescent="0.3">
      <c r="A53" s="30"/>
      <c r="B53" s="27"/>
      <c r="C53" s="28"/>
      <c r="D53" s="31"/>
      <c r="E53" s="47"/>
      <c r="F53" s="57"/>
      <c r="G53" s="57"/>
      <c r="H53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02"/>
  <sheetViews>
    <sheetView workbookViewId="0">
      <selection activeCell="C16" sqref="C16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17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17" ht="18.75" x14ac:dyDescent="0.3">
      <c r="A2" s="19"/>
      <c r="B2" s="24"/>
      <c r="D2" s="19"/>
      <c r="E2" s="19"/>
      <c r="F2" s="55"/>
    </row>
    <row r="3" spans="1:17" ht="18.75" x14ac:dyDescent="0.3">
      <c r="A3" s="20" t="s">
        <v>251</v>
      </c>
      <c r="C3" s="25">
        <v>157</v>
      </c>
      <c r="D3" s="19"/>
      <c r="E3" s="19"/>
      <c r="F3" s="55"/>
    </row>
    <row r="4" spans="1:17" ht="18.75" x14ac:dyDescent="0.3">
      <c r="A4" s="19"/>
      <c r="B4" s="24"/>
      <c r="D4" s="19"/>
      <c r="E4" s="19"/>
      <c r="F4" s="55"/>
    </row>
    <row r="5" spans="1:17" ht="18.75" x14ac:dyDescent="0.3">
      <c r="A5" s="20" t="s">
        <v>256</v>
      </c>
      <c r="C5" s="26" t="str">
        <f>VLOOKUP(C3,'Liste salariés'!A3:G104,2,FALSE)</f>
        <v>PEREZ Xavier</v>
      </c>
      <c r="D5" s="19"/>
      <c r="E5" s="19"/>
      <c r="F5" s="55"/>
    </row>
    <row r="6" spans="1:17" ht="39.75" customHeight="1" x14ac:dyDescent="0.3">
      <c r="A6" s="20" t="s">
        <v>252</v>
      </c>
      <c r="C6" s="23">
        <f>VLOOKUP(C3,'Liste salariés'!A3:J103,6,FALSE)</f>
        <v>25068</v>
      </c>
      <c r="D6" s="20" t="s">
        <v>253</v>
      </c>
      <c r="E6" s="49">
        <f ca="1">(B1-C6)/365</f>
        <v>57.6</v>
      </c>
      <c r="F6" s="48"/>
    </row>
    <row r="7" spans="1:17" ht="26.25" customHeight="1" x14ac:dyDescent="0.3">
      <c r="A7" s="20" t="s">
        <v>254</v>
      </c>
      <c r="C7" s="23">
        <f>VLOOKUP(C3,'Liste salariés'!A3:J105,3,FALSE)</f>
        <v>37803</v>
      </c>
      <c r="D7" s="20" t="s">
        <v>255</v>
      </c>
      <c r="E7" s="49">
        <f ca="1">(B1-C7)/365</f>
        <v>22.709589041095889</v>
      </c>
      <c r="F7" s="48"/>
    </row>
    <row r="8" spans="1:17" x14ac:dyDescent="0.25">
      <c r="B8"/>
    </row>
    <row r="9" spans="1:17" x14ac:dyDescent="0.25">
      <c r="B9"/>
    </row>
    <row r="10" spans="1:17" ht="18.75" x14ac:dyDescent="0.3">
      <c r="A10" s="20" t="s">
        <v>257</v>
      </c>
      <c r="B10"/>
    </row>
    <row r="11" spans="1:17" ht="15.75" thickBot="1" x14ac:dyDescent="0.3"/>
    <row r="12" spans="1:17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17" ht="20.100000000000001" customHeight="1" x14ac:dyDescent="0.25">
      <c r="A13" s="32">
        <v>2001</v>
      </c>
      <c r="B13" s="60" t="s">
        <v>168</v>
      </c>
      <c r="C13" s="33"/>
      <c r="D13" s="44"/>
      <c r="E13" s="45"/>
      <c r="F13" s="34"/>
      <c r="G13" s="34">
        <v>2011</v>
      </c>
      <c r="H13" s="35">
        <v>42</v>
      </c>
      <c r="O13" s="18"/>
      <c r="P13" s="18"/>
      <c r="Q13" s="13"/>
    </row>
    <row r="14" spans="1:17" ht="20.100000000000001" customHeight="1" x14ac:dyDescent="0.25">
      <c r="A14" s="36">
        <v>3002</v>
      </c>
      <c r="B14" s="59" t="s">
        <v>24</v>
      </c>
      <c r="C14" s="37"/>
      <c r="D14" s="42"/>
      <c r="E14" s="46"/>
      <c r="F14" s="38"/>
      <c r="G14" s="38">
        <v>2011</v>
      </c>
      <c r="H14" s="39">
        <v>151.66999999999999</v>
      </c>
      <c r="O14" s="18"/>
      <c r="P14" s="18"/>
      <c r="Q14" s="13"/>
    </row>
    <row r="15" spans="1:17" ht="20.100000000000001" customHeight="1" x14ac:dyDescent="0.25">
      <c r="A15" s="36">
        <v>3003</v>
      </c>
      <c r="B15" s="59" t="s">
        <v>162</v>
      </c>
      <c r="C15" s="37"/>
      <c r="D15" s="42"/>
      <c r="E15" s="46"/>
      <c r="F15" s="38"/>
      <c r="G15" s="38">
        <v>2011</v>
      </c>
      <c r="H15" s="39">
        <v>151.66999999999999</v>
      </c>
      <c r="O15" s="18"/>
      <c r="P15" s="18"/>
      <c r="Q15" s="13"/>
    </row>
    <row r="16" spans="1:17" ht="20.100000000000001" customHeight="1" x14ac:dyDescent="0.25">
      <c r="A16" s="36">
        <v>3004</v>
      </c>
      <c r="B16" s="59" t="s">
        <v>34</v>
      </c>
      <c r="C16" s="37"/>
      <c r="D16" s="42"/>
      <c r="E16" s="46"/>
      <c r="F16" s="38"/>
      <c r="G16" s="38">
        <v>2011</v>
      </c>
      <c r="H16" s="39">
        <v>151.66999999999999</v>
      </c>
      <c r="O16" s="18"/>
      <c r="P16" s="18"/>
      <c r="Q16" s="13"/>
    </row>
    <row r="17" spans="1:18" ht="20.100000000000001" customHeight="1" x14ac:dyDescent="0.25">
      <c r="A17" s="36">
        <v>3006</v>
      </c>
      <c r="B17" s="59" t="s">
        <v>25</v>
      </c>
      <c r="C17" s="37"/>
      <c r="D17" s="42"/>
      <c r="E17" s="46"/>
      <c r="F17" s="38"/>
      <c r="G17" s="38">
        <v>2011</v>
      </c>
      <c r="H17" s="39">
        <v>151.66999999999999</v>
      </c>
      <c r="O17" s="18"/>
      <c r="P17" s="18"/>
      <c r="Q17" s="13"/>
    </row>
    <row r="18" spans="1:18" ht="20.100000000000001" customHeight="1" x14ac:dyDescent="0.25">
      <c r="A18" s="36">
        <v>3039</v>
      </c>
      <c r="B18" s="59" t="s">
        <v>28</v>
      </c>
      <c r="C18" s="37"/>
      <c r="D18" s="42"/>
      <c r="E18" s="46"/>
      <c r="F18" s="38"/>
      <c r="G18" s="38">
        <v>2011</v>
      </c>
      <c r="H18" s="39">
        <v>151.66999999999999</v>
      </c>
      <c r="O18" s="18"/>
      <c r="P18" s="18"/>
      <c r="Q18" s="13"/>
    </row>
    <row r="19" spans="1:18" ht="20.100000000000001" customHeight="1" x14ac:dyDescent="0.25">
      <c r="A19" s="36">
        <v>3040</v>
      </c>
      <c r="B19" s="59" t="s">
        <v>27</v>
      </c>
      <c r="C19" s="37"/>
      <c r="D19" s="42"/>
      <c r="E19" s="46"/>
      <c r="F19" s="38"/>
      <c r="G19" s="38">
        <v>2011</v>
      </c>
      <c r="H19" s="39">
        <v>151.66999999999999</v>
      </c>
      <c r="O19" s="18"/>
      <c r="P19" s="18"/>
      <c r="Q19" s="13"/>
    </row>
    <row r="20" spans="1:18" ht="20.100000000000001" customHeight="1" x14ac:dyDescent="0.25">
      <c r="A20" s="36">
        <v>3002</v>
      </c>
      <c r="B20" s="59" t="s">
        <v>24</v>
      </c>
      <c r="C20" s="37"/>
      <c r="D20" s="42"/>
      <c r="E20" s="46"/>
      <c r="F20" s="38"/>
      <c r="G20" s="38">
        <v>2013</v>
      </c>
      <c r="H20" s="39">
        <v>151.66999999999999</v>
      </c>
      <c r="O20" s="18"/>
      <c r="P20" s="18"/>
      <c r="Q20" s="13"/>
    </row>
    <row r="21" spans="1:18" ht="20.100000000000001" customHeight="1" x14ac:dyDescent="0.25">
      <c r="A21" s="36">
        <v>3003</v>
      </c>
      <c r="B21" s="59" t="s">
        <v>162</v>
      </c>
      <c r="C21" s="37"/>
      <c r="D21" s="42"/>
      <c r="E21" s="46"/>
      <c r="F21" s="38"/>
      <c r="G21" s="38">
        <v>2013</v>
      </c>
      <c r="H21" s="39">
        <v>151.66999999999999</v>
      </c>
      <c r="O21" s="18"/>
      <c r="P21" s="18"/>
      <c r="Q21" s="13"/>
    </row>
    <row r="22" spans="1:18" ht="20.100000000000001" customHeight="1" x14ac:dyDescent="0.25">
      <c r="A22" s="36">
        <v>3006</v>
      </c>
      <c r="B22" s="59" t="s">
        <v>25</v>
      </c>
      <c r="C22" s="37"/>
      <c r="D22" s="42"/>
      <c r="E22" s="46"/>
      <c r="F22" s="38"/>
      <c r="G22" s="38">
        <v>2013</v>
      </c>
      <c r="H22" s="39">
        <v>151.66999999999999</v>
      </c>
      <c r="O22" s="18"/>
      <c r="P22" s="18"/>
      <c r="Q22" s="13"/>
    </row>
    <row r="23" spans="1:18" ht="20.100000000000001" customHeight="1" x14ac:dyDescent="0.25">
      <c r="A23" s="36">
        <v>3039</v>
      </c>
      <c r="B23" s="59" t="s">
        <v>28</v>
      </c>
      <c r="C23" s="37"/>
      <c r="D23" s="42"/>
      <c r="E23" s="46"/>
      <c r="F23" s="38"/>
      <c r="G23" s="38">
        <v>2013</v>
      </c>
      <c r="H23" s="39">
        <v>151.66999999999999</v>
      </c>
      <c r="O23" s="18"/>
      <c r="P23" s="18"/>
      <c r="Q23" s="13"/>
      <c r="R23" s="15"/>
    </row>
    <row r="24" spans="1:18" ht="20.100000000000001" customHeight="1" x14ac:dyDescent="0.25">
      <c r="A24" s="36">
        <v>3040</v>
      </c>
      <c r="B24" s="59" t="s">
        <v>27</v>
      </c>
      <c r="C24" s="37"/>
      <c r="D24" s="42"/>
      <c r="E24" s="46"/>
      <c r="F24" s="38"/>
      <c r="G24" s="38">
        <v>2013</v>
      </c>
      <c r="H24" s="39">
        <v>151.66999999999999</v>
      </c>
      <c r="Q24" s="13"/>
    </row>
    <row r="25" spans="1:18" ht="20.100000000000001" customHeight="1" x14ac:dyDescent="0.25">
      <c r="A25" s="36">
        <v>2007</v>
      </c>
      <c r="B25" s="59" t="s">
        <v>245</v>
      </c>
      <c r="C25" s="37"/>
      <c r="D25" s="42"/>
      <c r="E25" s="46"/>
      <c r="F25" s="38"/>
      <c r="G25" s="38">
        <v>2017</v>
      </c>
      <c r="H25" s="39">
        <v>2</v>
      </c>
      <c r="Q25" s="13"/>
    </row>
    <row r="26" spans="1:18" ht="20.100000000000001" customHeight="1" x14ac:dyDescent="0.25">
      <c r="A26" s="36">
        <v>1009</v>
      </c>
      <c r="B26" s="59" t="s">
        <v>221</v>
      </c>
      <c r="C26" s="37"/>
      <c r="D26" s="42"/>
      <c r="E26" s="46"/>
      <c r="F26" s="38"/>
      <c r="G26" s="38">
        <v>2018</v>
      </c>
      <c r="H26" s="39">
        <v>3</v>
      </c>
      <c r="Q26" s="13"/>
    </row>
    <row r="27" spans="1:18" ht="20.100000000000001" customHeight="1" x14ac:dyDescent="0.25">
      <c r="A27" s="36">
        <v>1010</v>
      </c>
      <c r="B27" s="59" t="s">
        <v>222</v>
      </c>
      <c r="C27" s="37"/>
      <c r="D27" s="42"/>
      <c r="E27" s="46"/>
      <c r="F27" s="38"/>
      <c r="G27" s="38">
        <v>2018</v>
      </c>
      <c r="H27" s="39">
        <v>3</v>
      </c>
      <c r="Q27" s="13"/>
    </row>
    <row r="28" spans="1:18" ht="20.100000000000001" customHeight="1" x14ac:dyDescent="0.25">
      <c r="A28" s="36">
        <v>3002</v>
      </c>
      <c r="B28" s="59" t="s">
        <v>24</v>
      </c>
      <c r="C28" s="37"/>
      <c r="D28" s="42"/>
      <c r="E28" s="46"/>
      <c r="F28" s="38"/>
      <c r="G28" s="38">
        <v>2018</v>
      </c>
      <c r="H28" s="39">
        <v>151.66999999999999</v>
      </c>
      <c r="Q28" s="13"/>
    </row>
    <row r="29" spans="1:18" ht="20.100000000000001" customHeight="1" x14ac:dyDescent="0.25">
      <c r="A29" s="36">
        <v>3004</v>
      </c>
      <c r="B29" s="59" t="s">
        <v>34</v>
      </c>
      <c r="C29" s="37"/>
      <c r="D29" s="42"/>
      <c r="E29" s="46"/>
      <c r="F29" s="38"/>
      <c r="G29" s="38">
        <v>2018</v>
      </c>
      <c r="H29" s="39">
        <v>151.66999999999999</v>
      </c>
      <c r="Q29" s="13"/>
    </row>
    <row r="30" spans="1:18" ht="20.100000000000001" customHeight="1" x14ac:dyDescent="0.25">
      <c r="A30" s="36">
        <v>3006</v>
      </c>
      <c r="B30" s="59" t="s">
        <v>25</v>
      </c>
      <c r="C30" s="37"/>
      <c r="D30" s="42"/>
      <c r="E30" s="46"/>
      <c r="F30" s="38"/>
      <c r="G30" s="38">
        <v>2018</v>
      </c>
      <c r="H30" s="39">
        <v>151.66999999999999</v>
      </c>
      <c r="Q30" s="13"/>
    </row>
    <row r="31" spans="1:18" ht="20.100000000000001" customHeight="1" x14ac:dyDescent="0.25">
      <c r="A31" s="36">
        <v>3039</v>
      </c>
      <c r="B31" s="59" t="s">
        <v>28</v>
      </c>
      <c r="C31" s="37"/>
      <c r="D31" s="42"/>
      <c r="E31" s="46"/>
      <c r="F31" s="38"/>
      <c r="G31" s="38">
        <v>2018</v>
      </c>
      <c r="H31" s="39">
        <v>151.66999999999999</v>
      </c>
      <c r="Q31" s="13"/>
    </row>
    <row r="32" spans="1:18" ht="20.100000000000001" customHeight="1" x14ac:dyDescent="0.25">
      <c r="A32" s="36">
        <v>3040</v>
      </c>
      <c r="B32" s="59" t="s">
        <v>27</v>
      </c>
      <c r="C32" s="37"/>
      <c r="D32" s="42"/>
      <c r="E32" s="46"/>
      <c r="F32" s="38"/>
      <c r="G32" s="38">
        <v>2018</v>
      </c>
      <c r="H32" s="39">
        <v>151.66999999999999</v>
      </c>
      <c r="Q32" s="13"/>
    </row>
    <row r="33" spans="1:17" ht="20.100000000000001" customHeight="1" x14ac:dyDescent="0.25">
      <c r="A33" s="36">
        <v>3006</v>
      </c>
      <c r="B33" s="37" t="s">
        <v>25</v>
      </c>
      <c r="C33" s="37"/>
      <c r="D33" s="42"/>
      <c r="E33" s="46"/>
      <c r="F33" s="38"/>
      <c r="G33" s="38">
        <v>2019</v>
      </c>
      <c r="H33" s="39">
        <v>151.66999999999999</v>
      </c>
      <c r="Q33" s="13"/>
    </row>
    <row r="34" spans="1:17" ht="20.100000000000001" customHeight="1" x14ac:dyDescent="0.25">
      <c r="A34" s="36">
        <v>3040</v>
      </c>
      <c r="B34" s="37" t="s">
        <v>27</v>
      </c>
      <c r="C34" s="37"/>
      <c r="D34" s="42"/>
      <c r="E34" s="46"/>
      <c r="F34" s="38"/>
      <c r="G34" s="38">
        <v>2019</v>
      </c>
      <c r="H34" s="39">
        <v>151.66999999999999</v>
      </c>
      <c r="Q34" s="13"/>
    </row>
    <row r="35" spans="1:17" ht="20.100000000000001" customHeight="1" x14ac:dyDescent="0.25">
      <c r="A35" s="36">
        <v>3026</v>
      </c>
      <c r="B35" s="37" t="s">
        <v>40</v>
      </c>
      <c r="C35" s="37"/>
      <c r="D35" s="42"/>
      <c r="E35" s="46"/>
      <c r="F35" s="38"/>
      <c r="G35" s="38">
        <v>2020</v>
      </c>
      <c r="H35" s="39">
        <v>231.67</v>
      </c>
      <c r="Q35" s="13"/>
    </row>
    <row r="36" spans="1:17" ht="20.100000000000001" customHeight="1" x14ac:dyDescent="0.25">
      <c r="A36" s="36">
        <v>3026</v>
      </c>
      <c r="B36" s="37" t="s">
        <v>40</v>
      </c>
      <c r="C36" s="37"/>
      <c r="D36" s="42"/>
      <c r="E36" s="46"/>
      <c r="F36" s="38"/>
      <c r="G36" s="38">
        <v>2021</v>
      </c>
      <c r="H36" s="39">
        <v>151.66999999999999</v>
      </c>
      <c r="Q36" s="13"/>
    </row>
    <row r="37" spans="1:17" ht="20.100000000000001" customHeight="1" x14ac:dyDescent="0.25">
      <c r="A37" s="36">
        <v>1004</v>
      </c>
      <c r="B37" s="37" t="s">
        <v>206</v>
      </c>
      <c r="C37" s="37"/>
      <c r="D37" s="42"/>
      <c r="E37" s="46"/>
      <c r="F37" s="38"/>
      <c r="G37" s="38">
        <v>2022</v>
      </c>
      <c r="H37" s="39">
        <v>7</v>
      </c>
      <c r="Q37" s="13"/>
    </row>
    <row r="38" spans="1:17" ht="20.100000000000001" customHeight="1" x14ac:dyDescent="0.25">
      <c r="A38" s="36">
        <v>3026</v>
      </c>
      <c r="B38" s="37" t="s">
        <v>40</v>
      </c>
      <c r="C38" s="37"/>
      <c r="D38" s="42"/>
      <c r="E38" s="46"/>
      <c r="F38" s="38"/>
      <c r="G38" s="38">
        <v>2022</v>
      </c>
      <c r="H38" s="39">
        <v>151.66999999999999</v>
      </c>
      <c r="Q38" s="13"/>
    </row>
    <row r="39" spans="1:17" ht="20.100000000000001" customHeight="1" x14ac:dyDescent="0.25">
      <c r="A39" s="36">
        <v>1004</v>
      </c>
      <c r="B39" s="37" t="s">
        <v>206</v>
      </c>
      <c r="C39" s="37"/>
      <c r="D39" s="42"/>
      <c r="E39" s="46"/>
      <c r="F39" s="38"/>
      <c r="G39" s="38">
        <v>2023</v>
      </c>
      <c r="H39" s="39">
        <v>7</v>
      </c>
      <c r="Q39" s="13"/>
    </row>
    <row r="40" spans="1:17" ht="20.100000000000001" customHeight="1" x14ac:dyDescent="0.25">
      <c r="A40" s="36">
        <v>3015</v>
      </c>
      <c r="B40" s="37" t="s">
        <v>49</v>
      </c>
      <c r="C40" s="37"/>
      <c r="D40" s="42"/>
      <c r="E40" s="46"/>
      <c r="F40" s="38"/>
      <c r="G40" s="38">
        <v>2023</v>
      </c>
      <c r="H40" s="39">
        <v>151.66999999999999</v>
      </c>
      <c r="Q40" s="13"/>
    </row>
    <row r="41" spans="1:17" ht="20.100000000000001" customHeight="1" x14ac:dyDescent="0.25">
      <c r="A41" s="36">
        <v>3022</v>
      </c>
      <c r="B41" s="37" t="s">
        <v>48</v>
      </c>
      <c r="C41" s="37"/>
      <c r="D41" s="42"/>
      <c r="E41" s="46"/>
      <c r="F41" s="38"/>
      <c r="G41" s="38">
        <v>2023</v>
      </c>
      <c r="H41" s="39">
        <v>151.66999999999999</v>
      </c>
      <c r="Q41" s="13"/>
    </row>
    <row r="42" spans="1:17" ht="20.100000000000001" customHeight="1" x14ac:dyDescent="0.25">
      <c r="A42" s="36">
        <v>1009</v>
      </c>
      <c r="B42" s="37" t="s">
        <v>221</v>
      </c>
      <c r="C42" s="37"/>
      <c r="D42" s="42"/>
      <c r="E42" s="46"/>
      <c r="F42" s="38"/>
      <c r="G42" s="38">
        <v>2024</v>
      </c>
      <c r="H42" s="39">
        <v>2</v>
      </c>
      <c r="Q42" s="13"/>
    </row>
    <row r="43" spans="1:17" ht="20.100000000000001" customHeight="1" x14ac:dyDescent="0.25">
      <c r="A43" s="36">
        <v>1010</v>
      </c>
      <c r="B43" s="37" t="s">
        <v>222</v>
      </c>
      <c r="C43" s="37"/>
      <c r="D43" s="42"/>
      <c r="E43" s="46"/>
      <c r="F43" s="38"/>
      <c r="G43" s="38">
        <v>2024</v>
      </c>
      <c r="H43" s="39">
        <v>2</v>
      </c>
      <c r="Q43" s="13"/>
    </row>
    <row r="44" spans="1:17" ht="20.100000000000001" customHeight="1" x14ac:dyDescent="0.25">
      <c r="A44" s="36">
        <v>3032</v>
      </c>
      <c r="B44" s="37" t="s">
        <v>30</v>
      </c>
      <c r="C44" s="37"/>
      <c r="D44" s="42"/>
      <c r="E44" s="46"/>
      <c r="F44" s="38"/>
      <c r="G44" s="38">
        <v>2024</v>
      </c>
      <c r="H44" s="39">
        <v>151.66999999999999</v>
      </c>
      <c r="Q44" s="13"/>
    </row>
    <row r="45" spans="1:17" ht="20.100000000000001" customHeight="1" x14ac:dyDescent="0.25">
      <c r="A45" s="36">
        <v>3037</v>
      </c>
      <c r="B45" s="37" t="s">
        <v>29</v>
      </c>
      <c r="C45" s="37"/>
      <c r="D45" s="42"/>
      <c r="E45" s="46"/>
      <c r="F45" s="38"/>
      <c r="G45" s="38">
        <v>2024</v>
      </c>
      <c r="H45" s="39">
        <v>151.66999999999999</v>
      </c>
      <c r="Q45" s="13"/>
    </row>
    <row r="46" spans="1:17" ht="20.100000000000001" customHeight="1" x14ac:dyDescent="0.25">
      <c r="A46" s="36"/>
      <c r="B46" s="37"/>
      <c r="C46" s="37"/>
      <c r="D46" s="42"/>
      <c r="E46" s="46"/>
      <c r="F46" s="38"/>
      <c r="G46" s="38"/>
      <c r="H46" s="39"/>
      <c r="Q46" s="13"/>
    </row>
    <row r="47" spans="1:17" ht="20.100000000000001" customHeight="1" x14ac:dyDescent="0.25">
      <c r="A47" s="36"/>
      <c r="B47" s="37"/>
      <c r="C47" s="37"/>
      <c r="D47" s="42"/>
      <c r="E47" s="46"/>
      <c r="F47" s="38"/>
      <c r="G47" s="38"/>
      <c r="H47" s="39"/>
      <c r="Q47" s="13"/>
    </row>
    <row r="48" spans="1:17" ht="20.100000000000001" customHeight="1" x14ac:dyDescent="0.25">
      <c r="A48" s="36"/>
      <c r="B48" s="37"/>
      <c r="C48" s="37"/>
      <c r="D48" s="42"/>
      <c r="E48" s="46"/>
      <c r="F48" s="38"/>
      <c r="G48" s="38"/>
      <c r="H48" s="39"/>
      <c r="Q48" s="13"/>
    </row>
    <row r="49" spans="1:17" ht="20.100000000000001" customHeight="1" x14ac:dyDescent="0.25">
      <c r="A49" s="36"/>
      <c r="B49" s="37"/>
      <c r="C49" s="37"/>
      <c r="D49" s="42"/>
      <c r="E49" s="46"/>
      <c r="F49" s="38"/>
      <c r="G49" s="38"/>
      <c r="H49" s="39"/>
      <c r="Q49" s="13"/>
    </row>
    <row r="50" spans="1:17" ht="20.100000000000001" customHeight="1" x14ac:dyDescent="0.25">
      <c r="A50" s="36"/>
      <c r="B50" s="37"/>
      <c r="C50" s="37"/>
      <c r="D50" s="42"/>
      <c r="E50" s="46"/>
      <c r="F50" s="38"/>
      <c r="G50" s="38"/>
      <c r="H50" s="39"/>
      <c r="Q50" s="13"/>
    </row>
    <row r="51" spans="1:17" ht="20.100000000000001" customHeight="1" x14ac:dyDescent="0.25">
      <c r="A51" s="36"/>
      <c r="B51" s="37"/>
      <c r="C51" s="37"/>
      <c r="D51" s="42"/>
      <c r="E51" s="46"/>
      <c r="F51" s="38"/>
      <c r="G51" s="38"/>
      <c r="H51" s="39"/>
      <c r="Q51" s="13"/>
    </row>
    <row r="52" spans="1:17" ht="20.100000000000001" customHeight="1" x14ac:dyDescent="0.25">
      <c r="A52" s="36"/>
      <c r="B52" s="37"/>
      <c r="C52" s="37"/>
      <c r="D52" s="42"/>
      <c r="E52" s="46"/>
      <c r="F52" s="38"/>
      <c r="G52" s="38"/>
      <c r="H52" s="39"/>
      <c r="Q52" s="13"/>
    </row>
    <row r="53" spans="1:17" ht="20.100000000000001" customHeight="1" x14ac:dyDescent="0.25">
      <c r="A53" s="36"/>
      <c r="B53" s="37"/>
      <c r="C53" s="37"/>
      <c r="D53" s="42"/>
      <c r="E53" s="46"/>
      <c r="F53" s="38"/>
      <c r="G53" s="38"/>
      <c r="H53" s="39"/>
    </row>
    <row r="54" spans="1:17" ht="20.100000000000001" customHeight="1" x14ac:dyDescent="0.25">
      <c r="A54" s="36"/>
      <c r="B54" s="37"/>
      <c r="C54" s="37"/>
      <c r="D54" s="42"/>
      <c r="E54" s="46"/>
      <c r="F54" s="38"/>
      <c r="G54" s="38"/>
      <c r="H54" s="39"/>
    </row>
    <row r="55" spans="1:17" ht="20.100000000000001" customHeight="1" x14ac:dyDescent="0.25">
      <c r="A55" s="36"/>
      <c r="B55" s="37"/>
      <c r="C55" s="37"/>
      <c r="D55" s="42"/>
      <c r="E55" s="46"/>
      <c r="F55" s="38"/>
      <c r="G55" s="38"/>
      <c r="H55" s="39"/>
    </row>
    <row r="56" spans="1:17" ht="20.100000000000001" customHeight="1" x14ac:dyDescent="0.25">
      <c r="A56" s="36"/>
      <c r="B56" s="37"/>
      <c r="C56" s="37"/>
      <c r="D56" s="42"/>
      <c r="E56" s="46"/>
      <c r="F56" s="38"/>
      <c r="G56" s="38"/>
      <c r="H56" s="39"/>
    </row>
    <row r="57" spans="1:17" ht="20.100000000000001" customHeight="1" x14ac:dyDescent="0.25">
      <c r="A57" s="36"/>
      <c r="B57" s="37"/>
      <c r="C57" s="37"/>
      <c r="D57" s="42"/>
      <c r="E57" s="46"/>
      <c r="F57" s="38"/>
      <c r="G57" s="38"/>
      <c r="H57" s="39"/>
    </row>
    <row r="58" spans="1:17" ht="20.100000000000001" customHeight="1" x14ac:dyDescent="0.25">
      <c r="A58" s="36"/>
      <c r="B58" s="37"/>
      <c r="C58" s="37"/>
      <c r="D58" s="42"/>
      <c r="E58" s="46"/>
      <c r="F58" s="38"/>
      <c r="G58" s="38"/>
      <c r="H58" s="39"/>
    </row>
    <row r="59" spans="1:17" ht="20.100000000000001" customHeight="1" x14ac:dyDescent="0.25">
      <c r="A59" s="36"/>
      <c r="B59" s="37"/>
      <c r="C59" s="37"/>
      <c r="D59" s="42"/>
      <c r="E59" s="46"/>
      <c r="F59" s="38"/>
      <c r="G59" s="38"/>
      <c r="H59" s="39"/>
    </row>
    <row r="60" spans="1:17" ht="20.100000000000001" customHeight="1" x14ac:dyDescent="0.25">
      <c r="A60" s="36"/>
      <c r="B60" s="37"/>
      <c r="C60" s="37"/>
      <c r="D60" s="42"/>
      <c r="E60" s="46"/>
      <c r="F60" s="38"/>
      <c r="G60" s="38"/>
      <c r="H60" s="39"/>
    </row>
    <row r="61" spans="1:17" ht="20.100000000000001" customHeight="1" x14ac:dyDescent="0.25">
      <c r="A61" s="36"/>
      <c r="B61" s="37"/>
      <c r="C61" s="37"/>
      <c r="D61" s="42"/>
      <c r="E61" s="46"/>
      <c r="F61" s="38"/>
      <c r="G61" s="38"/>
      <c r="H61" s="39"/>
    </row>
    <row r="62" spans="1:17" ht="20.100000000000001" customHeight="1" x14ac:dyDescent="0.25">
      <c r="A62" s="36"/>
      <c r="B62" s="37"/>
      <c r="C62" s="37"/>
      <c r="D62" s="42"/>
      <c r="E62" s="46"/>
      <c r="F62" s="38"/>
      <c r="G62" s="38"/>
      <c r="H62" s="39"/>
    </row>
    <row r="63" spans="1:17" ht="20.100000000000001" customHeight="1" x14ac:dyDescent="0.25">
      <c r="A63" s="36"/>
      <c r="B63" s="37"/>
      <c r="C63" s="37"/>
      <c r="D63" s="42"/>
      <c r="E63" s="46"/>
      <c r="F63" s="38"/>
      <c r="G63" s="38"/>
      <c r="H63" s="39"/>
    </row>
    <row r="64" spans="1:17" ht="20.100000000000001" customHeight="1" x14ac:dyDescent="0.25">
      <c r="A64" s="36"/>
      <c r="B64" s="37"/>
      <c r="C64" s="37"/>
      <c r="D64" s="42"/>
      <c r="E64" s="46"/>
      <c r="F64" s="38"/>
      <c r="G64" s="38"/>
      <c r="H64" s="39"/>
    </row>
    <row r="65" spans="1:8" ht="20.100000000000001" customHeight="1" x14ac:dyDescent="0.25">
      <c r="A65" s="36"/>
      <c r="B65" s="37"/>
      <c r="C65" s="37"/>
      <c r="D65" s="42"/>
      <c r="E65" s="46"/>
      <c r="F65" s="38"/>
      <c r="G65" s="38"/>
      <c r="H65" s="39"/>
    </row>
    <row r="66" spans="1:8" ht="20.100000000000001" customHeight="1" x14ac:dyDescent="0.25">
      <c r="A66" s="36"/>
      <c r="B66" s="37"/>
      <c r="C66" s="37"/>
      <c r="D66" s="42"/>
      <c r="E66" s="46"/>
      <c r="F66" s="38"/>
      <c r="G66" s="38"/>
      <c r="H66" s="39"/>
    </row>
    <row r="67" spans="1:8" ht="20.100000000000001" customHeight="1" x14ac:dyDescent="0.25">
      <c r="A67" s="36"/>
      <c r="B67" s="37"/>
      <c r="C67" s="37"/>
      <c r="D67" s="42"/>
      <c r="E67" s="46"/>
      <c r="F67" s="38"/>
      <c r="G67" s="38"/>
      <c r="H67" s="39"/>
    </row>
    <row r="68" spans="1:8" ht="20.100000000000001" customHeight="1" x14ac:dyDescent="0.25">
      <c r="A68" s="36"/>
      <c r="B68" s="37"/>
      <c r="C68" s="37"/>
      <c r="D68" s="42"/>
      <c r="E68" s="46"/>
      <c r="F68" s="38"/>
      <c r="G68" s="38"/>
      <c r="H68" s="39"/>
    </row>
    <row r="69" spans="1:8" ht="20.100000000000001" customHeight="1" x14ac:dyDescent="0.25">
      <c r="A69" s="36"/>
      <c r="B69" s="37"/>
      <c r="C69" s="37"/>
      <c r="D69" s="42"/>
      <c r="E69" s="46"/>
      <c r="F69" s="38"/>
      <c r="G69" s="38"/>
      <c r="H69" s="39"/>
    </row>
    <row r="70" spans="1:8" ht="20.100000000000001" customHeight="1" x14ac:dyDescent="0.25">
      <c r="A70" s="36"/>
      <c r="B70" s="37"/>
      <c r="C70" s="37"/>
      <c r="D70" s="42"/>
      <c r="E70" s="46"/>
      <c r="F70" s="38"/>
      <c r="G70" s="38"/>
      <c r="H70" s="39"/>
    </row>
    <row r="71" spans="1:8" ht="20.100000000000001" customHeight="1" x14ac:dyDescent="0.25">
      <c r="A71" s="36"/>
      <c r="B71" s="37"/>
      <c r="C71" s="37"/>
      <c r="D71" s="42"/>
      <c r="E71" s="46"/>
      <c r="F71" s="38"/>
      <c r="G71" s="38"/>
      <c r="H71" s="39"/>
    </row>
    <row r="72" spans="1:8" ht="20.100000000000001" customHeight="1" x14ac:dyDescent="0.25">
      <c r="A72" s="36"/>
      <c r="B72" s="37"/>
      <c r="C72" s="37"/>
      <c r="D72" s="42"/>
      <c r="E72" s="46"/>
      <c r="F72" s="38"/>
      <c r="G72" s="38"/>
      <c r="H72" s="39"/>
    </row>
    <row r="73" spans="1:8" ht="20.100000000000001" customHeight="1" x14ac:dyDescent="0.25">
      <c r="A73" s="36"/>
      <c r="B73" s="37"/>
      <c r="C73" s="37"/>
      <c r="D73" s="42"/>
      <c r="E73" s="46"/>
      <c r="F73" s="38"/>
      <c r="G73" s="38"/>
      <c r="H73" s="39"/>
    </row>
    <row r="74" spans="1:8" ht="20.100000000000001" customHeight="1" x14ac:dyDescent="0.25">
      <c r="A74" s="36"/>
      <c r="B74" s="37"/>
      <c r="C74" s="37"/>
      <c r="D74" s="42"/>
      <c r="E74" s="46"/>
      <c r="F74" s="38"/>
      <c r="G74" s="38"/>
      <c r="H74" s="39"/>
    </row>
    <row r="75" spans="1:8" ht="20.100000000000001" customHeight="1" x14ac:dyDescent="0.25">
      <c r="A75" s="36"/>
      <c r="B75" s="37"/>
      <c r="C75" s="37"/>
      <c r="D75" s="42"/>
      <c r="E75" s="46"/>
      <c r="F75" s="38"/>
      <c r="G75" s="38"/>
      <c r="H75" s="39"/>
    </row>
    <row r="76" spans="1:8" ht="20.100000000000001" customHeight="1" x14ac:dyDescent="0.25">
      <c r="A76" s="36"/>
      <c r="B76" s="37"/>
      <c r="C76" s="37"/>
      <c r="D76" s="42"/>
      <c r="E76" s="46"/>
      <c r="F76" s="38"/>
      <c r="G76" s="38"/>
      <c r="H76" s="39"/>
    </row>
    <row r="77" spans="1:8" ht="20.100000000000001" customHeight="1" x14ac:dyDescent="0.25">
      <c r="A77" s="36"/>
      <c r="B77" s="37"/>
      <c r="C77" s="37"/>
      <c r="D77" s="42"/>
      <c r="E77" s="46"/>
      <c r="F77" s="38"/>
      <c r="G77" s="38"/>
      <c r="H77" s="39"/>
    </row>
    <row r="78" spans="1:8" ht="20.100000000000001" customHeight="1" x14ac:dyDescent="0.25">
      <c r="A78" s="36"/>
      <c r="B78" s="37"/>
      <c r="C78" s="37"/>
      <c r="D78" s="42"/>
      <c r="E78" s="46"/>
      <c r="F78" s="38"/>
      <c r="G78" s="38"/>
      <c r="H78" s="39"/>
    </row>
    <row r="79" spans="1:8" ht="20.100000000000001" customHeight="1" x14ac:dyDescent="0.25">
      <c r="A79" s="36"/>
      <c r="B79" s="37"/>
      <c r="C79" s="37"/>
      <c r="D79" s="42"/>
      <c r="E79" s="46"/>
      <c r="F79" s="38"/>
      <c r="G79" s="38"/>
      <c r="H79" s="39"/>
    </row>
    <row r="80" spans="1:8" ht="20.100000000000001" customHeight="1" x14ac:dyDescent="0.25">
      <c r="A80" s="36"/>
      <c r="B80" s="37"/>
      <c r="C80" s="37"/>
      <c r="D80" s="42"/>
      <c r="E80" s="46"/>
      <c r="F80" s="38"/>
      <c r="G80" s="38"/>
      <c r="H80" s="39"/>
    </row>
    <row r="81" spans="1:8" ht="20.100000000000001" customHeight="1" x14ac:dyDescent="0.25">
      <c r="A81" s="36"/>
      <c r="B81" s="37"/>
      <c r="C81" s="37"/>
      <c r="D81" s="42"/>
      <c r="E81" s="46"/>
      <c r="F81" s="38"/>
      <c r="G81" s="38"/>
      <c r="H81" s="39"/>
    </row>
    <row r="82" spans="1:8" ht="20.100000000000001" customHeight="1" x14ac:dyDescent="0.25">
      <c r="A82" s="36"/>
      <c r="B82" s="37"/>
      <c r="C82" s="37"/>
      <c r="D82" s="42"/>
      <c r="E82" s="46"/>
      <c r="F82" s="38"/>
      <c r="G82" s="38"/>
      <c r="H82" s="39"/>
    </row>
    <row r="83" spans="1:8" ht="20.100000000000001" customHeight="1" x14ac:dyDescent="0.25">
      <c r="A83" s="36"/>
      <c r="B83" s="37"/>
      <c r="C83" s="37"/>
      <c r="D83" s="42"/>
      <c r="E83" s="46"/>
      <c r="F83" s="38"/>
      <c r="G83" s="38"/>
      <c r="H83" s="39"/>
    </row>
    <row r="84" spans="1:8" ht="20.100000000000001" customHeight="1" x14ac:dyDescent="0.25">
      <c r="A84" s="36"/>
      <c r="B84" s="37"/>
      <c r="C84" s="37"/>
      <c r="D84" s="42"/>
      <c r="E84" s="46"/>
      <c r="F84" s="38"/>
      <c r="G84" s="38"/>
      <c r="H84" s="39"/>
    </row>
    <row r="85" spans="1:8" ht="20.100000000000001" customHeight="1" x14ac:dyDescent="0.25">
      <c r="A85" s="36"/>
      <c r="B85" s="37"/>
      <c r="C85" s="37"/>
      <c r="D85" s="42"/>
      <c r="E85" s="46"/>
      <c r="F85" s="38"/>
      <c r="G85" s="38"/>
      <c r="H85" s="39"/>
    </row>
    <row r="86" spans="1:8" ht="20.100000000000001" customHeight="1" x14ac:dyDescent="0.25">
      <c r="A86" s="36"/>
      <c r="B86" s="37"/>
      <c r="C86" s="37"/>
      <c r="D86" s="42"/>
      <c r="E86" s="46"/>
      <c r="F86" s="38"/>
      <c r="G86" s="38"/>
      <c r="H86" s="39"/>
    </row>
    <row r="87" spans="1:8" ht="20.100000000000001" customHeight="1" x14ac:dyDescent="0.25">
      <c r="A87" s="36"/>
      <c r="B87" s="37"/>
      <c r="C87" s="37"/>
      <c r="D87" s="42"/>
      <c r="E87" s="46"/>
      <c r="F87" s="38"/>
      <c r="G87" s="38"/>
      <c r="H87" s="39"/>
    </row>
    <row r="88" spans="1:8" ht="20.100000000000001" customHeight="1" x14ac:dyDescent="0.25">
      <c r="A88" s="36"/>
      <c r="B88" s="37"/>
      <c r="C88" s="37"/>
      <c r="D88" s="42"/>
      <c r="E88" s="46"/>
      <c r="F88" s="38"/>
      <c r="G88" s="38"/>
      <c r="H88" s="39"/>
    </row>
    <row r="89" spans="1:8" ht="20.100000000000001" customHeight="1" x14ac:dyDescent="0.25">
      <c r="A89" s="36"/>
      <c r="B89" s="37"/>
      <c r="C89" s="37"/>
      <c r="D89" s="42"/>
      <c r="E89" s="46"/>
      <c r="F89" s="38"/>
      <c r="G89" s="38"/>
      <c r="H89" s="39"/>
    </row>
    <row r="90" spans="1:8" ht="20.100000000000001" customHeight="1" x14ac:dyDescent="0.25">
      <c r="A90" s="36"/>
      <c r="B90" s="37"/>
      <c r="C90" s="37"/>
      <c r="D90" s="42"/>
      <c r="E90" s="46"/>
      <c r="F90" s="38"/>
      <c r="G90" s="38"/>
      <c r="H90" s="39"/>
    </row>
    <row r="91" spans="1:8" ht="20.100000000000001" customHeight="1" x14ac:dyDescent="0.25">
      <c r="A91" s="36"/>
      <c r="B91" s="37"/>
      <c r="C91" s="37"/>
      <c r="D91" s="42"/>
      <c r="E91" s="46"/>
      <c r="F91" s="38"/>
      <c r="G91" s="38"/>
      <c r="H91" s="39"/>
    </row>
    <row r="92" spans="1:8" ht="20.100000000000001" customHeight="1" x14ac:dyDescent="0.25">
      <c r="A92" s="36"/>
      <c r="B92" s="37"/>
      <c r="C92" s="37"/>
      <c r="D92" s="42"/>
      <c r="E92" s="46"/>
      <c r="F92" s="38"/>
      <c r="G92" s="38"/>
      <c r="H92" s="39"/>
    </row>
    <row r="93" spans="1:8" ht="20.100000000000001" customHeight="1" x14ac:dyDescent="0.25">
      <c r="A93" s="36"/>
      <c r="B93" s="37"/>
      <c r="C93" s="37"/>
      <c r="D93" s="42"/>
      <c r="E93" s="46"/>
      <c r="F93" s="38"/>
      <c r="G93" s="38"/>
      <c r="H93" s="39"/>
    </row>
    <row r="94" spans="1:8" ht="20.100000000000001" customHeight="1" x14ac:dyDescent="0.25">
      <c r="A94" s="36"/>
      <c r="B94" s="37"/>
      <c r="C94" s="37"/>
      <c r="D94" s="42"/>
      <c r="E94" s="46"/>
      <c r="F94" s="38"/>
      <c r="G94" s="38"/>
      <c r="H94" s="39"/>
    </row>
    <row r="95" spans="1:8" ht="20.100000000000001" customHeight="1" x14ac:dyDescent="0.25">
      <c r="A95" s="36"/>
      <c r="B95" s="37"/>
      <c r="C95" s="37"/>
      <c r="D95" s="42"/>
      <c r="E95" s="46"/>
      <c r="F95" s="38"/>
      <c r="G95" s="38"/>
      <c r="H95" s="39"/>
    </row>
    <row r="96" spans="1:8" ht="20.100000000000001" customHeight="1" x14ac:dyDescent="0.25">
      <c r="A96" s="36"/>
      <c r="B96" s="37"/>
      <c r="C96" s="37"/>
      <c r="D96" s="42"/>
      <c r="E96" s="46"/>
      <c r="F96" s="38"/>
      <c r="G96" s="38"/>
      <c r="H96" s="39"/>
    </row>
    <row r="97" spans="1:8" ht="20.100000000000001" customHeight="1" x14ac:dyDescent="0.25">
      <c r="A97" s="36"/>
      <c r="B97" s="37"/>
      <c r="C97" s="37"/>
      <c r="D97" s="42"/>
      <c r="E97" s="46"/>
      <c r="F97" s="38"/>
      <c r="G97" s="38"/>
      <c r="H97" s="39"/>
    </row>
    <row r="98" spans="1:8" ht="20.100000000000001" customHeight="1" x14ac:dyDescent="0.25">
      <c r="A98" s="36"/>
      <c r="B98" s="37"/>
      <c r="C98" s="37"/>
      <c r="D98" s="42"/>
      <c r="E98" s="46"/>
      <c r="F98" s="38"/>
      <c r="G98" s="38"/>
      <c r="H98" s="39"/>
    </row>
    <row r="99" spans="1:8" ht="20.100000000000001" customHeight="1" x14ac:dyDescent="0.25">
      <c r="A99" s="36"/>
      <c r="B99" s="37"/>
      <c r="C99" s="37"/>
      <c r="D99" s="42"/>
      <c r="E99" s="46"/>
      <c r="F99" s="38"/>
      <c r="G99" s="38"/>
      <c r="H99" s="39"/>
    </row>
    <row r="100" spans="1:8" ht="20.100000000000001" customHeight="1" x14ac:dyDescent="0.25">
      <c r="A100" s="36"/>
      <c r="B100" s="37"/>
      <c r="C100" s="37"/>
      <c r="D100" s="42"/>
      <c r="E100" s="46"/>
      <c r="F100" s="38"/>
      <c r="G100" s="38"/>
      <c r="H100" s="39"/>
    </row>
    <row r="101" spans="1:8" ht="20.100000000000001" customHeight="1" x14ac:dyDescent="0.25">
      <c r="A101" s="36"/>
      <c r="B101" s="37"/>
      <c r="C101" s="37"/>
      <c r="D101" s="42"/>
      <c r="E101" s="46"/>
      <c r="F101" s="38"/>
      <c r="G101" s="38"/>
      <c r="H101" s="39"/>
    </row>
    <row r="102" spans="1:8" ht="15.75" thickBot="1" x14ac:dyDescent="0.3">
      <c r="A102" s="30"/>
      <c r="B102" s="27"/>
      <c r="C102" s="28"/>
      <c r="D102" s="31"/>
      <c r="E102" s="47"/>
      <c r="F102" s="57"/>
      <c r="G102" s="57"/>
      <c r="H102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02"/>
  <sheetViews>
    <sheetView workbookViewId="0">
      <selection activeCell="B1" sqref="B1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17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17" ht="18.75" x14ac:dyDescent="0.3">
      <c r="A2" s="19"/>
      <c r="B2" s="24"/>
      <c r="D2" s="19"/>
      <c r="E2" s="19"/>
      <c r="F2" s="55"/>
    </row>
    <row r="3" spans="1:17" ht="18.75" x14ac:dyDescent="0.3">
      <c r="A3" s="20" t="s">
        <v>251</v>
      </c>
      <c r="C3" s="25">
        <v>352</v>
      </c>
      <c r="D3" s="19"/>
      <c r="E3" s="19"/>
      <c r="F3" s="55"/>
    </row>
    <row r="4" spans="1:17" ht="18.75" x14ac:dyDescent="0.3">
      <c r="A4" s="19"/>
      <c r="B4" s="24"/>
      <c r="D4" s="19"/>
      <c r="E4" s="19"/>
      <c r="F4" s="55"/>
    </row>
    <row r="5" spans="1:17" ht="18.75" x14ac:dyDescent="0.3">
      <c r="A5" s="20" t="s">
        <v>256</v>
      </c>
      <c r="C5" s="26" t="str">
        <f>VLOOKUP(C3,'Liste salariés'!A3:G104,2,FALSE)</f>
        <v>BIDONDO  Mickaël</v>
      </c>
      <c r="D5" s="19"/>
      <c r="E5" s="19"/>
      <c r="F5" s="55"/>
    </row>
    <row r="6" spans="1:17" ht="39.75" customHeight="1" x14ac:dyDescent="0.3">
      <c r="A6" s="20" t="s">
        <v>252</v>
      </c>
      <c r="C6" s="23">
        <f>VLOOKUP(C3,'Liste salariés'!A3:J103,6,FALSE)</f>
        <v>35263</v>
      </c>
      <c r="D6" s="20" t="s">
        <v>253</v>
      </c>
      <c r="E6" s="49">
        <f ca="1">(B1-C6)/365</f>
        <v>29.668493150684931</v>
      </c>
      <c r="F6" s="48"/>
    </row>
    <row r="7" spans="1:17" ht="26.25" customHeight="1" x14ac:dyDescent="0.3">
      <c r="A7" s="20" t="s">
        <v>254</v>
      </c>
      <c r="C7" s="23">
        <f>VLOOKUP(C3,'Liste salariés'!A3:J105,3,FALSE)</f>
        <v>42598</v>
      </c>
      <c r="D7" s="20" t="s">
        <v>255</v>
      </c>
      <c r="E7" s="49">
        <f ca="1">(B1-C7)/365</f>
        <v>9.5726027397260278</v>
      </c>
      <c r="F7" s="48"/>
    </row>
    <row r="8" spans="1:17" x14ac:dyDescent="0.25">
      <c r="B8"/>
    </row>
    <row r="9" spans="1:17" x14ac:dyDescent="0.25">
      <c r="B9"/>
    </row>
    <row r="10" spans="1:17" ht="18.75" x14ac:dyDescent="0.3">
      <c r="A10" s="20" t="s">
        <v>257</v>
      </c>
      <c r="B10"/>
    </row>
    <row r="11" spans="1:17" ht="15.75" thickBot="1" x14ac:dyDescent="0.3"/>
    <row r="12" spans="1:17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17" ht="20.100000000000001" customHeight="1" x14ac:dyDescent="0.25">
      <c r="A13" s="32">
        <v>3033</v>
      </c>
      <c r="B13" s="60" t="s">
        <v>164</v>
      </c>
      <c r="C13" s="33"/>
      <c r="D13" s="44"/>
      <c r="E13" s="45"/>
      <c r="F13" s="34"/>
      <c r="G13" s="34">
        <v>2015</v>
      </c>
      <c r="H13" s="35">
        <v>151.66999999999999</v>
      </c>
      <c r="O13" s="18"/>
      <c r="P13" s="18"/>
      <c r="Q13" s="13"/>
    </row>
    <row r="14" spans="1:17" ht="20.100000000000001" customHeight="1" x14ac:dyDescent="0.25">
      <c r="A14" s="36">
        <v>3037</v>
      </c>
      <c r="B14" s="59" t="s">
        <v>29</v>
      </c>
      <c r="C14" s="37"/>
      <c r="D14" s="42"/>
      <c r="E14" s="46"/>
      <c r="F14" s="38"/>
      <c r="G14" s="38">
        <v>2016</v>
      </c>
      <c r="H14" s="39">
        <v>151.66999999999999</v>
      </c>
      <c r="O14" s="18"/>
      <c r="P14" s="18"/>
      <c r="Q14" s="13"/>
    </row>
    <row r="15" spans="1:17" ht="20.100000000000001" customHeight="1" x14ac:dyDescent="0.25">
      <c r="A15" s="36">
        <v>3002</v>
      </c>
      <c r="B15" s="59" t="s">
        <v>24</v>
      </c>
      <c r="C15" s="37"/>
      <c r="D15" s="42"/>
      <c r="E15" s="46"/>
      <c r="F15" s="38"/>
      <c r="G15" s="38">
        <v>2017</v>
      </c>
      <c r="H15" s="39">
        <v>151.66999999999999</v>
      </c>
      <c r="O15" s="18"/>
      <c r="P15" s="18"/>
      <c r="Q15" s="13"/>
    </row>
    <row r="16" spans="1:17" ht="20.100000000000001" customHeight="1" x14ac:dyDescent="0.25">
      <c r="A16" s="36">
        <v>3005</v>
      </c>
      <c r="B16" s="59" t="s">
        <v>31</v>
      </c>
      <c r="C16" s="37"/>
      <c r="D16" s="42"/>
      <c r="E16" s="46"/>
      <c r="F16" s="38"/>
      <c r="G16" s="38">
        <v>2017</v>
      </c>
      <c r="H16" s="39">
        <v>151.66999999999999</v>
      </c>
      <c r="O16" s="18"/>
      <c r="P16" s="18"/>
      <c r="Q16" s="13"/>
    </row>
    <row r="17" spans="1:18" ht="20.100000000000001" customHeight="1" x14ac:dyDescent="0.25">
      <c r="A17" s="36">
        <v>3006</v>
      </c>
      <c r="B17" s="59" t="s">
        <v>25</v>
      </c>
      <c r="C17" s="37"/>
      <c r="D17" s="42"/>
      <c r="E17" s="46"/>
      <c r="F17" s="38"/>
      <c r="G17" s="38">
        <v>2017</v>
      </c>
      <c r="H17" s="39">
        <v>151.66999999999999</v>
      </c>
      <c r="O17" s="18"/>
      <c r="P17" s="18"/>
      <c r="Q17" s="13"/>
    </row>
    <row r="18" spans="1:18" ht="20.100000000000001" customHeight="1" x14ac:dyDescent="0.25">
      <c r="A18" s="36">
        <v>3007</v>
      </c>
      <c r="B18" s="59" t="s">
        <v>26</v>
      </c>
      <c r="C18" s="37"/>
      <c r="D18" s="42"/>
      <c r="E18" s="46"/>
      <c r="F18" s="38"/>
      <c r="G18" s="38">
        <v>2017</v>
      </c>
      <c r="H18" s="39">
        <v>151.66999999999999</v>
      </c>
      <c r="O18" s="18"/>
      <c r="P18" s="18"/>
      <c r="Q18" s="13"/>
    </row>
    <row r="19" spans="1:18" ht="20.100000000000001" customHeight="1" x14ac:dyDescent="0.25">
      <c r="A19" s="36">
        <v>3008</v>
      </c>
      <c r="B19" s="59" t="s">
        <v>33</v>
      </c>
      <c r="C19" s="37"/>
      <c r="D19" s="42"/>
      <c r="E19" s="46"/>
      <c r="F19" s="38"/>
      <c r="G19" s="38">
        <v>2017</v>
      </c>
      <c r="H19" s="39">
        <v>151.66999999999999</v>
      </c>
      <c r="O19" s="18"/>
      <c r="P19" s="18"/>
      <c r="Q19" s="13"/>
    </row>
    <row r="20" spans="1:18" ht="20.100000000000001" customHeight="1" x14ac:dyDescent="0.25">
      <c r="A20" s="36">
        <v>3033</v>
      </c>
      <c r="B20" s="59" t="s">
        <v>164</v>
      </c>
      <c r="C20" s="37"/>
      <c r="D20" s="42"/>
      <c r="E20" s="46"/>
      <c r="F20" s="38"/>
      <c r="G20" s="38">
        <v>2017</v>
      </c>
      <c r="H20" s="39">
        <v>151.66999999999999</v>
      </c>
      <c r="O20" s="18"/>
      <c r="P20" s="18"/>
      <c r="Q20" s="13"/>
    </row>
    <row r="21" spans="1:18" ht="20.100000000000001" customHeight="1" x14ac:dyDescent="0.25">
      <c r="A21" s="36">
        <v>2007</v>
      </c>
      <c r="B21" s="59" t="s">
        <v>245</v>
      </c>
      <c r="C21" s="37"/>
      <c r="D21" s="42"/>
      <c r="E21" s="46"/>
      <c r="F21" s="38"/>
      <c r="G21" s="38">
        <v>2017</v>
      </c>
      <c r="H21" s="39">
        <v>2.5</v>
      </c>
      <c r="O21" s="18"/>
      <c r="P21" s="18"/>
      <c r="Q21" s="13"/>
    </row>
    <row r="22" spans="1:18" ht="20.100000000000001" customHeight="1" x14ac:dyDescent="0.25">
      <c r="A22" s="36">
        <v>3032</v>
      </c>
      <c r="B22" s="59" t="s">
        <v>30</v>
      </c>
      <c r="C22" s="37"/>
      <c r="D22" s="42"/>
      <c r="E22" s="46"/>
      <c r="F22" s="38"/>
      <c r="G22" s="38">
        <v>2018</v>
      </c>
      <c r="H22" s="39">
        <v>151.66999999999999</v>
      </c>
      <c r="O22" s="18"/>
      <c r="P22" s="18"/>
      <c r="Q22" s="13"/>
    </row>
    <row r="23" spans="1:18" ht="20.100000000000001" customHeight="1" x14ac:dyDescent="0.25">
      <c r="A23" s="36">
        <v>3034</v>
      </c>
      <c r="B23" s="59" t="s">
        <v>43</v>
      </c>
      <c r="C23" s="37"/>
      <c r="D23" s="42"/>
      <c r="E23" s="46"/>
      <c r="F23" s="38"/>
      <c r="G23" s="38">
        <v>2018</v>
      </c>
      <c r="H23" s="39">
        <v>151.66999999999999</v>
      </c>
      <c r="O23" s="18"/>
      <c r="P23" s="18"/>
      <c r="Q23" s="13"/>
      <c r="R23" s="15"/>
    </row>
    <row r="24" spans="1:18" ht="20.100000000000001" customHeight="1" x14ac:dyDescent="0.25">
      <c r="A24" s="36">
        <v>3037</v>
      </c>
      <c r="B24" s="59" t="s">
        <v>29</v>
      </c>
      <c r="C24" s="37"/>
      <c r="D24" s="42"/>
      <c r="E24" s="46"/>
      <c r="F24" s="38"/>
      <c r="G24" s="38">
        <v>2018</v>
      </c>
      <c r="H24" s="39">
        <v>151.66999999999999</v>
      </c>
      <c r="Q24" s="13"/>
    </row>
    <row r="25" spans="1:18" ht="20.100000000000001" customHeight="1" x14ac:dyDescent="0.25">
      <c r="A25" s="36">
        <v>1004</v>
      </c>
      <c r="B25" s="59" t="s">
        <v>206</v>
      </c>
      <c r="C25" s="37"/>
      <c r="D25" s="42"/>
      <c r="E25" s="46"/>
      <c r="F25" s="38"/>
      <c r="G25" s="38">
        <v>2018</v>
      </c>
      <c r="H25" s="39">
        <v>7</v>
      </c>
      <c r="Q25" s="13"/>
    </row>
    <row r="26" spans="1:18" ht="20.100000000000001" customHeight="1" x14ac:dyDescent="0.25">
      <c r="A26" s="36">
        <v>1008</v>
      </c>
      <c r="B26" s="59" t="s">
        <v>241</v>
      </c>
      <c r="C26" s="37"/>
      <c r="D26" s="42"/>
      <c r="E26" s="46"/>
      <c r="F26" s="38"/>
      <c r="G26" s="38">
        <v>2018</v>
      </c>
      <c r="H26" s="39">
        <v>3</v>
      </c>
      <c r="Q26" s="13"/>
    </row>
    <row r="27" spans="1:18" ht="20.100000000000001" customHeight="1" x14ac:dyDescent="0.25">
      <c r="A27" s="36">
        <v>1009</v>
      </c>
      <c r="B27" s="59" t="s">
        <v>221</v>
      </c>
      <c r="C27" s="37"/>
      <c r="D27" s="42"/>
      <c r="E27" s="46"/>
      <c r="F27" s="38"/>
      <c r="G27" s="38">
        <v>2018</v>
      </c>
      <c r="H27" s="39">
        <v>3</v>
      </c>
      <c r="Q27" s="13"/>
    </row>
    <row r="28" spans="1:18" ht="20.100000000000001" customHeight="1" x14ac:dyDescent="0.25">
      <c r="A28" s="36">
        <v>1020</v>
      </c>
      <c r="B28" s="59" t="s">
        <v>202</v>
      </c>
      <c r="C28" s="37"/>
      <c r="D28" s="42"/>
      <c r="E28" s="46"/>
      <c r="F28" s="38"/>
      <c r="G28" s="38">
        <v>2018</v>
      </c>
      <c r="H28" s="39">
        <v>3.5</v>
      </c>
      <c r="Q28" s="13"/>
    </row>
    <row r="29" spans="1:18" ht="20.100000000000001" customHeight="1" x14ac:dyDescent="0.25">
      <c r="A29" s="36">
        <v>1022</v>
      </c>
      <c r="B29" s="59" t="s">
        <v>220</v>
      </c>
      <c r="C29" s="37"/>
      <c r="D29" s="42"/>
      <c r="E29" s="46"/>
      <c r="F29" s="38"/>
      <c r="G29" s="38">
        <v>2019</v>
      </c>
      <c r="H29" s="39">
        <v>0.16</v>
      </c>
      <c r="Q29" s="13"/>
    </row>
    <row r="30" spans="1:18" ht="20.100000000000001" customHeight="1" x14ac:dyDescent="0.25">
      <c r="A30" s="36">
        <v>3001</v>
      </c>
      <c r="B30" s="59" t="s">
        <v>23</v>
      </c>
      <c r="C30" s="37"/>
      <c r="D30" s="42"/>
      <c r="E30" s="46"/>
      <c r="F30" s="38"/>
      <c r="G30" s="38">
        <v>2019</v>
      </c>
      <c r="H30" s="39">
        <v>151.66999999999999</v>
      </c>
      <c r="Q30" s="13"/>
    </row>
    <row r="31" spans="1:18" ht="20.100000000000001" customHeight="1" x14ac:dyDescent="0.25">
      <c r="A31" s="36">
        <v>3002</v>
      </c>
      <c r="B31" s="59" t="s">
        <v>24</v>
      </c>
      <c r="C31" s="37"/>
      <c r="D31" s="42"/>
      <c r="E31" s="46"/>
      <c r="F31" s="38"/>
      <c r="G31" s="38">
        <v>2019</v>
      </c>
      <c r="H31" s="39">
        <v>151.66999999999999</v>
      </c>
      <c r="Q31" s="13"/>
    </row>
    <row r="32" spans="1:18" ht="20.100000000000001" customHeight="1" x14ac:dyDescent="0.25">
      <c r="A32" s="36">
        <v>3005</v>
      </c>
      <c r="B32" s="59" t="s">
        <v>31</v>
      </c>
      <c r="C32" s="37"/>
      <c r="D32" s="42"/>
      <c r="E32" s="46"/>
      <c r="F32" s="38"/>
      <c r="G32" s="38">
        <v>2019</v>
      </c>
      <c r="H32" s="39">
        <v>151.66999999999999</v>
      </c>
      <c r="Q32" s="13"/>
    </row>
    <row r="33" spans="1:17" ht="20.100000000000001" customHeight="1" x14ac:dyDescent="0.25">
      <c r="A33" s="36">
        <v>3006</v>
      </c>
      <c r="B33" s="37" t="s">
        <v>25</v>
      </c>
      <c r="C33" s="37"/>
      <c r="D33" s="42"/>
      <c r="E33" s="46"/>
      <c r="F33" s="38"/>
      <c r="G33" s="38">
        <v>2019</v>
      </c>
      <c r="H33" s="39">
        <v>151.66999999999999</v>
      </c>
      <c r="Q33" s="13"/>
    </row>
    <row r="34" spans="1:17" ht="20.100000000000001" customHeight="1" x14ac:dyDescent="0.25">
      <c r="A34" s="36">
        <v>3007</v>
      </c>
      <c r="B34" s="37" t="s">
        <v>26</v>
      </c>
      <c r="C34" s="37"/>
      <c r="D34" s="42"/>
      <c r="E34" s="46"/>
      <c r="F34" s="38"/>
      <c r="G34" s="38">
        <v>2019</v>
      </c>
      <c r="H34" s="39">
        <v>151.66999999999999</v>
      </c>
      <c r="Q34" s="13"/>
    </row>
    <row r="35" spans="1:17" ht="20.100000000000001" customHeight="1" x14ac:dyDescent="0.25">
      <c r="A35" s="36">
        <v>3008</v>
      </c>
      <c r="B35" s="37" t="s">
        <v>33</v>
      </c>
      <c r="C35" s="37"/>
      <c r="D35" s="42"/>
      <c r="E35" s="46"/>
      <c r="F35" s="38"/>
      <c r="G35" s="38">
        <v>2019</v>
      </c>
      <c r="H35" s="39">
        <v>151.66999999999999</v>
      </c>
      <c r="Q35" s="13"/>
    </row>
    <row r="36" spans="1:17" ht="20.100000000000001" customHeight="1" x14ac:dyDescent="0.25">
      <c r="A36" s="36">
        <v>3014</v>
      </c>
      <c r="B36" s="37" t="s">
        <v>47</v>
      </c>
      <c r="C36" s="37"/>
      <c r="D36" s="42"/>
      <c r="E36" s="46"/>
      <c r="F36" s="38"/>
      <c r="G36" s="38">
        <v>2019</v>
      </c>
      <c r="H36" s="39">
        <v>151.66999999999999</v>
      </c>
      <c r="Q36" s="13"/>
    </row>
    <row r="37" spans="1:17" ht="20.100000000000001" customHeight="1" x14ac:dyDescent="0.25">
      <c r="A37" s="36">
        <v>3023</v>
      </c>
      <c r="B37" s="37" t="s">
        <v>54</v>
      </c>
      <c r="C37" s="37"/>
      <c r="D37" s="42"/>
      <c r="E37" s="46"/>
      <c r="F37" s="38"/>
      <c r="G37" s="38">
        <v>2019</v>
      </c>
      <c r="H37" s="39">
        <v>151.66999999999999</v>
      </c>
      <c r="Q37" s="13"/>
    </row>
    <row r="38" spans="1:17" ht="20.100000000000001" customHeight="1" x14ac:dyDescent="0.25">
      <c r="A38" s="36">
        <v>3033</v>
      </c>
      <c r="B38" s="37" t="s">
        <v>164</v>
      </c>
      <c r="C38" s="37"/>
      <c r="D38" s="42"/>
      <c r="E38" s="46"/>
      <c r="F38" s="38"/>
      <c r="G38" s="38">
        <v>2019</v>
      </c>
      <c r="H38" s="39">
        <v>151.66999999999999</v>
      </c>
      <c r="Q38" s="13"/>
    </row>
    <row r="39" spans="1:17" ht="20.100000000000001" customHeight="1" x14ac:dyDescent="0.25">
      <c r="A39" s="36">
        <v>3037</v>
      </c>
      <c r="B39" s="37" t="s">
        <v>29</v>
      </c>
      <c r="C39" s="37"/>
      <c r="D39" s="42"/>
      <c r="E39" s="46"/>
      <c r="F39" s="38"/>
      <c r="G39" s="38">
        <v>2019</v>
      </c>
      <c r="H39" s="39">
        <v>151.66999999999999</v>
      </c>
      <c r="Q39" s="13"/>
    </row>
    <row r="40" spans="1:17" ht="20.100000000000001" customHeight="1" x14ac:dyDescent="0.25">
      <c r="A40" s="36">
        <v>3015</v>
      </c>
      <c r="B40" s="37" t="s">
        <v>49</v>
      </c>
      <c r="C40" s="37"/>
      <c r="D40" s="42"/>
      <c r="E40" s="46"/>
      <c r="F40" s="38"/>
      <c r="G40" s="38">
        <v>2021</v>
      </c>
      <c r="H40" s="39">
        <v>151.66999999999999</v>
      </c>
      <c r="Q40" s="13"/>
    </row>
    <row r="41" spans="1:17" ht="20.100000000000001" customHeight="1" x14ac:dyDescent="0.25">
      <c r="A41" s="36">
        <v>3018</v>
      </c>
      <c r="B41" s="37" t="s">
        <v>37</v>
      </c>
      <c r="C41" s="37"/>
      <c r="D41" s="42"/>
      <c r="E41" s="46"/>
      <c r="F41" s="38"/>
      <c r="G41" s="38">
        <v>2021</v>
      </c>
      <c r="H41" s="39">
        <v>151.66999999999999</v>
      </c>
      <c r="Q41" s="13"/>
    </row>
    <row r="42" spans="1:17" ht="20.100000000000001" customHeight="1" x14ac:dyDescent="0.25">
      <c r="A42" s="36">
        <v>3024</v>
      </c>
      <c r="B42" s="37" t="s">
        <v>46</v>
      </c>
      <c r="C42" s="37"/>
      <c r="D42" s="42"/>
      <c r="E42" s="46"/>
      <c r="F42" s="38"/>
      <c r="G42" s="38">
        <v>2021</v>
      </c>
      <c r="H42" s="39">
        <v>151.66999999999999</v>
      </c>
      <c r="Q42" s="13"/>
    </row>
    <row r="43" spans="1:17" ht="20.100000000000001" customHeight="1" x14ac:dyDescent="0.25">
      <c r="A43" s="36">
        <v>3026</v>
      </c>
      <c r="B43" s="37" t="s">
        <v>40</v>
      </c>
      <c r="C43" s="37"/>
      <c r="D43" s="42"/>
      <c r="E43" s="46"/>
      <c r="F43" s="38"/>
      <c r="G43" s="38">
        <v>2021</v>
      </c>
      <c r="H43" s="39">
        <v>151.66999999999999</v>
      </c>
      <c r="Q43" s="13"/>
    </row>
    <row r="44" spans="1:17" ht="20.100000000000001" customHeight="1" x14ac:dyDescent="0.25">
      <c r="A44" s="36">
        <v>3027</v>
      </c>
      <c r="B44" s="37" t="s">
        <v>53</v>
      </c>
      <c r="C44" s="37"/>
      <c r="D44" s="42"/>
      <c r="E44" s="46"/>
      <c r="F44" s="38"/>
      <c r="G44" s="38">
        <v>2021</v>
      </c>
      <c r="H44" s="39">
        <v>151.66999999999999</v>
      </c>
      <c r="Q44" s="13"/>
    </row>
    <row r="45" spans="1:17" ht="20.100000000000001" customHeight="1" x14ac:dyDescent="0.25">
      <c r="A45" s="36">
        <v>3028</v>
      </c>
      <c r="B45" s="37" t="s">
        <v>39</v>
      </c>
      <c r="C45" s="37"/>
      <c r="D45" s="42"/>
      <c r="E45" s="46"/>
      <c r="F45" s="38"/>
      <c r="G45" s="38">
        <v>2021</v>
      </c>
      <c r="H45" s="39">
        <v>151.66999999999999</v>
      </c>
      <c r="Q45" s="13"/>
    </row>
    <row r="46" spans="1:17" ht="20.100000000000001" customHeight="1" x14ac:dyDescent="0.25">
      <c r="A46" s="36">
        <v>3039</v>
      </c>
      <c r="B46" s="37" t="s">
        <v>28</v>
      </c>
      <c r="C46" s="37"/>
      <c r="D46" s="42"/>
      <c r="E46" s="46"/>
      <c r="F46" s="38"/>
      <c r="G46" s="38">
        <v>2023</v>
      </c>
      <c r="H46" s="39">
        <v>151.66999999999999</v>
      </c>
      <c r="Q46" s="13"/>
    </row>
    <row r="47" spans="1:17" ht="20.100000000000001" customHeight="1" x14ac:dyDescent="0.25">
      <c r="A47" s="36">
        <v>3043</v>
      </c>
      <c r="B47" s="37" t="s">
        <v>44</v>
      </c>
      <c r="C47" s="37"/>
      <c r="D47" s="42"/>
      <c r="E47" s="46"/>
      <c r="F47" s="38"/>
      <c r="G47" s="38">
        <v>2023</v>
      </c>
      <c r="H47" s="39">
        <v>151.66999999999999</v>
      </c>
      <c r="Q47" s="13"/>
    </row>
    <row r="48" spans="1:17" ht="20.100000000000001" customHeight="1" x14ac:dyDescent="0.25">
      <c r="A48" s="36">
        <v>1008</v>
      </c>
      <c r="B48" s="37" t="s">
        <v>241</v>
      </c>
      <c r="C48" s="37"/>
      <c r="D48" s="42"/>
      <c r="E48" s="46"/>
      <c r="F48" s="38"/>
      <c r="G48" s="38">
        <v>2023</v>
      </c>
      <c r="H48" s="39">
        <v>2</v>
      </c>
      <c r="Q48" s="13"/>
    </row>
    <row r="49" spans="1:17" ht="20.100000000000001" customHeight="1" x14ac:dyDescent="0.25">
      <c r="A49" s="36">
        <v>1009</v>
      </c>
      <c r="B49" s="37" t="s">
        <v>221</v>
      </c>
      <c r="C49" s="37"/>
      <c r="D49" s="42"/>
      <c r="E49" s="46"/>
      <c r="F49" s="38"/>
      <c r="G49" s="38">
        <v>2023</v>
      </c>
      <c r="H49" s="39">
        <v>2</v>
      </c>
      <c r="Q49" s="13"/>
    </row>
    <row r="50" spans="1:17" ht="20.100000000000001" customHeight="1" x14ac:dyDescent="0.25">
      <c r="A50" s="36">
        <v>1003</v>
      </c>
      <c r="B50" s="37" t="s">
        <v>205</v>
      </c>
      <c r="C50" s="37"/>
      <c r="D50" s="42"/>
      <c r="E50" s="46"/>
      <c r="F50" s="38"/>
      <c r="G50" s="38">
        <v>2023</v>
      </c>
      <c r="H50" s="39">
        <v>4</v>
      </c>
      <c r="Q50" s="13"/>
    </row>
    <row r="51" spans="1:17" ht="20.100000000000001" customHeight="1" x14ac:dyDescent="0.25">
      <c r="A51" s="36">
        <v>1004</v>
      </c>
      <c r="B51" s="37" t="s">
        <v>206</v>
      </c>
      <c r="C51" s="37"/>
      <c r="D51" s="42"/>
      <c r="E51" s="46"/>
      <c r="F51" s="38"/>
      <c r="G51" s="38">
        <v>2023</v>
      </c>
      <c r="H51" s="39">
        <v>7</v>
      </c>
      <c r="Q51" s="13"/>
    </row>
    <row r="52" spans="1:17" ht="20.100000000000001" customHeight="1" x14ac:dyDescent="0.25">
      <c r="A52" s="36">
        <v>1006</v>
      </c>
      <c r="B52" s="37" t="s">
        <v>150</v>
      </c>
      <c r="C52" s="37"/>
      <c r="D52" s="42"/>
      <c r="E52" s="46"/>
      <c r="F52" s="38"/>
      <c r="G52" s="38">
        <v>2024</v>
      </c>
      <c r="H52" s="39">
        <v>14</v>
      </c>
      <c r="Q52" s="13"/>
    </row>
    <row r="53" spans="1:17" ht="20.100000000000001" customHeight="1" x14ac:dyDescent="0.25">
      <c r="A53" s="36">
        <v>1009</v>
      </c>
      <c r="B53" s="37" t="s">
        <v>221</v>
      </c>
      <c r="C53" s="37"/>
      <c r="D53" s="42"/>
      <c r="E53" s="46"/>
      <c r="F53" s="38"/>
      <c r="G53" s="38">
        <v>2024</v>
      </c>
      <c r="H53" s="39">
        <v>2</v>
      </c>
    </row>
    <row r="54" spans="1:17" ht="20.100000000000001" customHeight="1" x14ac:dyDescent="0.25">
      <c r="A54" s="36">
        <v>1010</v>
      </c>
      <c r="B54" s="37" t="s">
        <v>222</v>
      </c>
      <c r="C54" s="37"/>
      <c r="D54" s="42"/>
      <c r="E54" s="46"/>
      <c r="F54" s="38"/>
      <c r="G54" s="38">
        <v>2024</v>
      </c>
      <c r="H54" s="39">
        <v>2</v>
      </c>
    </row>
    <row r="55" spans="1:17" ht="20.100000000000001" customHeight="1" x14ac:dyDescent="0.25">
      <c r="A55" s="36">
        <v>1020</v>
      </c>
      <c r="B55" s="37" t="s">
        <v>202</v>
      </c>
      <c r="C55" s="37"/>
      <c r="D55" s="42"/>
      <c r="E55" s="46"/>
      <c r="F55" s="38"/>
      <c r="G55" s="38">
        <v>2024</v>
      </c>
      <c r="H55" s="39">
        <v>3.5</v>
      </c>
    </row>
    <row r="56" spans="1:17" ht="20.100000000000001" customHeight="1" x14ac:dyDescent="0.25">
      <c r="A56" s="36">
        <v>1032</v>
      </c>
      <c r="B56" s="37" t="s">
        <v>210</v>
      </c>
      <c r="C56" s="37"/>
      <c r="D56" s="42"/>
      <c r="E56" s="46"/>
      <c r="F56" s="38"/>
      <c r="G56" s="38">
        <v>2024</v>
      </c>
      <c r="H56" s="39">
        <v>2</v>
      </c>
    </row>
    <row r="57" spans="1:17" ht="20.100000000000001" customHeight="1" x14ac:dyDescent="0.25">
      <c r="A57" s="36">
        <v>3013</v>
      </c>
      <c r="B57" s="37" t="s">
        <v>45</v>
      </c>
      <c r="C57" s="37"/>
      <c r="D57" s="42"/>
      <c r="E57" s="46"/>
      <c r="F57" s="38"/>
      <c r="G57" s="38">
        <v>2024</v>
      </c>
      <c r="H57" s="39">
        <v>151.66999999999999</v>
      </c>
    </row>
    <row r="58" spans="1:17" ht="20.100000000000001" customHeight="1" x14ac:dyDescent="0.25">
      <c r="A58" s="36">
        <v>1033</v>
      </c>
      <c r="B58" s="37" t="s">
        <v>248</v>
      </c>
      <c r="C58" s="37"/>
      <c r="D58" s="42"/>
      <c r="E58" s="46"/>
      <c r="F58" s="38"/>
      <c r="G58" s="38">
        <v>2024</v>
      </c>
      <c r="H58" s="39">
        <v>1.5</v>
      </c>
    </row>
    <row r="59" spans="1:17" ht="20.100000000000001" customHeight="1" x14ac:dyDescent="0.25">
      <c r="A59" s="36">
        <v>2031</v>
      </c>
      <c r="B59" s="37" t="s">
        <v>180</v>
      </c>
      <c r="C59" s="37"/>
      <c r="D59" s="42"/>
      <c r="E59" s="46"/>
      <c r="F59" s="38"/>
      <c r="G59" s="38">
        <v>2025</v>
      </c>
      <c r="H59" s="39">
        <v>2.5</v>
      </c>
    </row>
    <row r="60" spans="1:17" ht="20.100000000000001" customHeight="1" x14ac:dyDescent="0.25">
      <c r="A60" s="36"/>
      <c r="B60" s="37"/>
      <c r="C60" s="37"/>
      <c r="D60" s="42"/>
      <c r="E60" s="46"/>
      <c r="F60" s="38"/>
      <c r="G60" s="38"/>
      <c r="H60" s="39"/>
    </row>
    <row r="61" spans="1:17" ht="20.100000000000001" customHeight="1" x14ac:dyDescent="0.25">
      <c r="A61" s="36"/>
      <c r="B61" s="37"/>
      <c r="C61" s="37"/>
      <c r="D61" s="42"/>
      <c r="E61" s="46"/>
      <c r="F61" s="38"/>
      <c r="G61" s="38"/>
      <c r="H61" s="39"/>
    </row>
    <row r="62" spans="1:17" ht="20.100000000000001" customHeight="1" x14ac:dyDescent="0.25">
      <c r="A62" s="36"/>
      <c r="B62" s="37"/>
      <c r="C62" s="37"/>
      <c r="D62" s="42"/>
      <c r="E62" s="46"/>
      <c r="F62" s="38"/>
      <c r="G62" s="38"/>
      <c r="H62" s="39"/>
    </row>
    <row r="63" spans="1:17" ht="20.100000000000001" customHeight="1" x14ac:dyDescent="0.25">
      <c r="A63" s="36"/>
      <c r="B63" s="37"/>
      <c r="C63" s="37"/>
      <c r="D63" s="42"/>
      <c r="E63" s="46"/>
      <c r="F63" s="38"/>
      <c r="G63" s="38"/>
      <c r="H63" s="39"/>
    </row>
    <row r="64" spans="1:17" ht="20.100000000000001" customHeight="1" x14ac:dyDescent="0.25">
      <c r="A64" s="36"/>
      <c r="B64" s="37"/>
      <c r="C64" s="37"/>
      <c r="D64" s="42"/>
      <c r="E64" s="46"/>
      <c r="F64" s="38"/>
      <c r="G64" s="38"/>
      <c r="H64" s="39"/>
    </row>
    <row r="65" spans="1:8" ht="20.100000000000001" customHeight="1" x14ac:dyDescent="0.25">
      <c r="A65" s="36"/>
      <c r="B65" s="37"/>
      <c r="C65" s="37"/>
      <c r="D65" s="42"/>
      <c r="E65" s="46"/>
      <c r="F65" s="38"/>
      <c r="G65" s="38"/>
      <c r="H65" s="39"/>
    </row>
    <row r="66" spans="1:8" ht="20.100000000000001" customHeight="1" x14ac:dyDescent="0.25">
      <c r="A66" s="36"/>
      <c r="B66" s="37"/>
      <c r="C66" s="37"/>
      <c r="D66" s="42"/>
      <c r="E66" s="46"/>
      <c r="F66" s="38"/>
      <c r="G66" s="38"/>
      <c r="H66" s="39"/>
    </row>
    <row r="67" spans="1:8" ht="20.100000000000001" customHeight="1" x14ac:dyDescent="0.25">
      <c r="A67" s="36"/>
      <c r="B67" s="37"/>
      <c r="C67" s="37"/>
      <c r="D67" s="42"/>
      <c r="E67" s="46"/>
      <c r="F67" s="38"/>
      <c r="G67" s="38"/>
      <c r="H67" s="39"/>
    </row>
    <row r="68" spans="1:8" ht="20.100000000000001" customHeight="1" x14ac:dyDescent="0.25">
      <c r="A68" s="36"/>
      <c r="B68" s="37"/>
      <c r="C68" s="37"/>
      <c r="D68" s="42"/>
      <c r="E68" s="46"/>
      <c r="F68" s="38"/>
      <c r="G68" s="38"/>
      <c r="H68" s="39"/>
    </row>
    <row r="69" spans="1:8" ht="20.100000000000001" customHeight="1" x14ac:dyDescent="0.25">
      <c r="A69" s="36"/>
      <c r="B69" s="37"/>
      <c r="C69" s="37"/>
      <c r="D69" s="42"/>
      <c r="E69" s="46"/>
      <c r="F69" s="38"/>
      <c r="G69" s="38"/>
      <c r="H69" s="39"/>
    </row>
    <row r="70" spans="1:8" ht="20.100000000000001" customHeight="1" x14ac:dyDescent="0.25">
      <c r="A70" s="36"/>
      <c r="B70" s="37"/>
      <c r="C70" s="37"/>
      <c r="D70" s="42"/>
      <c r="E70" s="46"/>
      <c r="F70" s="38"/>
      <c r="G70" s="38"/>
      <c r="H70" s="39"/>
    </row>
    <row r="71" spans="1:8" ht="20.100000000000001" customHeight="1" x14ac:dyDescent="0.25">
      <c r="A71" s="36"/>
      <c r="B71" s="37"/>
      <c r="C71" s="37"/>
      <c r="D71" s="42"/>
      <c r="E71" s="46"/>
      <c r="F71" s="38"/>
      <c r="G71" s="38"/>
      <c r="H71" s="39"/>
    </row>
    <row r="72" spans="1:8" ht="20.100000000000001" customHeight="1" x14ac:dyDescent="0.25">
      <c r="A72" s="36"/>
      <c r="B72" s="37"/>
      <c r="C72" s="37"/>
      <c r="D72" s="42"/>
      <c r="E72" s="46"/>
      <c r="F72" s="38"/>
      <c r="G72" s="38"/>
      <c r="H72" s="39"/>
    </row>
    <row r="73" spans="1:8" ht="20.100000000000001" customHeight="1" x14ac:dyDescent="0.25">
      <c r="A73" s="36"/>
      <c r="B73" s="37"/>
      <c r="C73" s="37"/>
      <c r="D73" s="42"/>
      <c r="E73" s="46"/>
      <c r="F73" s="38"/>
      <c r="G73" s="38"/>
      <c r="H73" s="39"/>
    </row>
    <row r="74" spans="1:8" ht="20.100000000000001" customHeight="1" x14ac:dyDescent="0.25">
      <c r="A74" s="36"/>
      <c r="B74" s="37"/>
      <c r="C74" s="37"/>
      <c r="D74" s="42"/>
      <c r="E74" s="46"/>
      <c r="F74" s="38"/>
      <c r="G74" s="38"/>
      <c r="H74" s="39"/>
    </row>
    <row r="75" spans="1:8" ht="20.100000000000001" customHeight="1" x14ac:dyDescent="0.25">
      <c r="A75" s="36"/>
      <c r="B75" s="37"/>
      <c r="C75" s="37"/>
      <c r="D75" s="42"/>
      <c r="E75" s="46"/>
      <c r="F75" s="38"/>
      <c r="G75" s="38"/>
      <c r="H75" s="39"/>
    </row>
    <row r="76" spans="1:8" ht="20.100000000000001" customHeight="1" x14ac:dyDescent="0.25">
      <c r="A76" s="36"/>
      <c r="B76" s="37"/>
      <c r="C76" s="37"/>
      <c r="D76" s="42"/>
      <c r="E76" s="46"/>
      <c r="F76" s="38"/>
      <c r="G76" s="38"/>
      <c r="H76" s="39"/>
    </row>
    <row r="77" spans="1:8" ht="20.100000000000001" customHeight="1" x14ac:dyDescent="0.25">
      <c r="A77" s="36"/>
      <c r="B77" s="37"/>
      <c r="C77" s="37"/>
      <c r="D77" s="42"/>
      <c r="E77" s="46"/>
      <c r="F77" s="38"/>
      <c r="G77" s="38"/>
      <c r="H77" s="39"/>
    </row>
    <row r="78" spans="1:8" ht="20.100000000000001" customHeight="1" x14ac:dyDescent="0.25">
      <c r="A78" s="36"/>
      <c r="B78" s="37"/>
      <c r="C78" s="37"/>
      <c r="D78" s="42"/>
      <c r="E78" s="46"/>
      <c r="F78" s="38"/>
      <c r="G78" s="38"/>
      <c r="H78" s="39"/>
    </row>
    <row r="79" spans="1:8" ht="20.100000000000001" customHeight="1" x14ac:dyDescent="0.25">
      <c r="A79" s="36"/>
      <c r="B79" s="37"/>
      <c r="C79" s="37"/>
      <c r="D79" s="42"/>
      <c r="E79" s="46"/>
      <c r="F79" s="38"/>
      <c r="G79" s="38"/>
      <c r="H79" s="39"/>
    </row>
    <row r="80" spans="1:8" ht="20.100000000000001" customHeight="1" x14ac:dyDescent="0.25">
      <c r="A80" s="36"/>
      <c r="B80" s="37"/>
      <c r="C80" s="37"/>
      <c r="D80" s="42"/>
      <c r="E80" s="46"/>
      <c r="F80" s="38"/>
      <c r="G80" s="38"/>
      <c r="H80" s="39"/>
    </row>
    <row r="81" spans="1:8" ht="20.100000000000001" customHeight="1" x14ac:dyDescent="0.25">
      <c r="A81" s="36"/>
      <c r="B81" s="37"/>
      <c r="C81" s="37"/>
      <c r="D81" s="42"/>
      <c r="E81" s="46"/>
      <c r="F81" s="38"/>
      <c r="G81" s="38"/>
      <c r="H81" s="39"/>
    </row>
    <row r="82" spans="1:8" ht="20.100000000000001" customHeight="1" x14ac:dyDescent="0.25">
      <c r="A82" s="36"/>
      <c r="B82" s="37"/>
      <c r="C82" s="37"/>
      <c r="D82" s="42"/>
      <c r="E82" s="46"/>
      <c r="F82" s="38"/>
      <c r="G82" s="38"/>
      <c r="H82" s="39"/>
    </row>
    <row r="83" spans="1:8" ht="20.100000000000001" customHeight="1" x14ac:dyDescent="0.25">
      <c r="A83" s="36"/>
      <c r="B83" s="37"/>
      <c r="C83" s="37"/>
      <c r="D83" s="42"/>
      <c r="E83" s="46"/>
      <c r="F83" s="38"/>
      <c r="G83" s="38"/>
      <c r="H83" s="39"/>
    </row>
    <row r="84" spans="1:8" ht="20.100000000000001" customHeight="1" x14ac:dyDescent="0.25">
      <c r="A84" s="36"/>
      <c r="B84" s="37"/>
      <c r="C84" s="37"/>
      <c r="D84" s="42"/>
      <c r="E84" s="46"/>
      <c r="F84" s="38"/>
      <c r="G84" s="38"/>
      <c r="H84" s="39"/>
    </row>
    <row r="85" spans="1:8" ht="20.100000000000001" customHeight="1" x14ac:dyDescent="0.25">
      <c r="A85" s="36"/>
      <c r="B85" s="37"/>
      <c r="C85" s="37"/>
      <c r="D85" s="42"/>
      <c r="E85" s="46"/>
      <c r="F85" s="38"/>
      <c r="G85" s="38"/>
      <c r="H85" s="39"/>
    </row>
    <row r="86" spans="1:8" ht="20.100000000000001" customHeight="1" x14ac:dyDescent="0.25">
      <c r="A86" s="36"/>
      <c r="B86" s="37"/>
      <c r="C86" s="37"/>
      <c r="D86" s="42"/>
      <c r="E86" s="46"/>
      <c r="F86" s="38"/>
      <c r="G86" s="38"/>
      <c r="H86" s="39"/>
    </row>
    <row r="87" spans="1:8" ht="20.100000000000001" customHeight="1" x14ac:dyDescent="0.25">
      <c r="A87" s="36"/>
      <c r="B87" s="37"/>
      <c r="C87" s="37"/>
      <c r="D87" s="42"/>
      <c r="E87" s="46"/>
      <c r="F87" s="38"/>
      <c r="G87" s="38"/>
      <c r="H87" s="39"/>
    </row>
    <row r="88" spans="1:8" ht="20.100000000000001" customHeight="1" x14ac:dyDescent="0.25">
      <c r="A88" s="36"/>
      <c r="B88" s="37"/>
      <c r="C88" s="37"/>
      <c r="D88" s="42"/>
      <c r="E88" s="46"/>
      <c r="F88" s="38"/>
      <c r="G88" s="38"/>
      <c r="H88" s="39"/>
    </row>
    <row r="89" spans="1:8" ht="20.100000000000001" customHeight="1" x14ac:dyDescent="0.25">
      <c r="A89" s="36"/>
      <c r="B89" s="37"/>
      <c r="C89" s="37"/>
      <c r="D89" s="42"/>
      <c r="E89" s="46"/>
      <c r="F89" s="38"/>
      <c r="G89" s="38"/>
      <c r="H89" s="39"/>
    </row>
    <row r="90" spans="1:8" ht="20.100000000000001" customHeight="1" x14ac:dyDescent="0.25">
      <c r="A90" s="36"/>
      <c r="B90" s="37"/>
      <c r="C90" s="37"/>
      <c r="D90" s="42"/>
      <c r="E90" s="46"/>
      <c r="F90" s="38"/>
      <c r="G90" s="38"/>
      <c r="H90" s="39"/>
    </row>
    <row r="91" spans="1:8" ht="20.100000000000001" customHeight="1" x14ac:dyDescent="0.25">
      <c r="A91" s="36"/>
      <c r="B91" s="37"/>
      <c r="C91" s="37"/>
      <c r="D91" s="42"/>
      <c r="E91" s="46"/>
      <c r="F91" s="38"/>
      <c r="G91" s="38"/>
      <c r="H91" s="39"/>
    </row>
    <row r="92" spans="1:8" ht="20.100000000000001" customHeight="1" x14ac:dyDescent="0.25">
      <c r="A92" s="36"/>
      <c r="B92" s="37"/>
      <c r="C92" s="37"/>
      <c r="D92" s="42"/>
      <c r="E92" s="46"/>
      <c r="F92" s="38"/>
      <c r="G92" s="38"/>
      <c r="H92" s="39"/>
    </row>
    <row r="93" spans="1:8" ht="20.100000000000001" customHeight="1" x14ac:dyDescent="0.25">
      <c r="A93" s="36"/>
      <c r="B93" s="37"/>
      <c r="C93" s="37"/>
      <c r="D93" s="42"/>
      <c r="E93" s="46"/>
      <c r="F93" s="38"/>
      <c r="G93" s="38"/>
      <c r="H93" s="39"/>
    </row>
    <row r="94" spans="1:8" ht="20.100000000000001" customHeight="1" x14ac:dyDescent="0.25">
      <c r="A94" s="36"/>
      <c r="B94" s="37"/>
      <c r="C94" s="37"/>
      <c r="D94" s="42"/>
      <c r="E94" s="46"/>
      <c r="F94" s="38"/>
      <c r="G94" s="38"/>
      <c r="H94" s="39"/>
    </row>
    <row r="95" spans="1:8" ht="20.100000000000001" customHeight="1" x14ac:dyDescent="0.25">
      <c r="A95" s="36"/>
      <c r="B95" s="37"/>
      <c r="C95" s="37"/>
      <c r="D95" s="42"/>
      <c r="E95" s="46"/>
      <c r="F95" s="38"/>
      <c r="G95" s="38"/>
      <c r="H95" s="39"/>
    </row>
    <row r="96" spans="1:8" ht="20.100000000000001" customHeight="1" x14ac:dyDescent="0.25">
      <c r="A96" s="36"/>
      <c r="B96" s="37"/>
      <c r="C96" s="37"/>
      <c r="D96" s="42"/>
      <c r="E96" s="46"/>
      <c r="F96" s="38"/>
      <c r="G96" s="38"/>
      <c r="H96" s="39"/>
    </row>
    <row r="97" spans="1:8" ht="20.100000000000001" customHeight="1" x14ac:dyDescent="0.25">
      <c r="A97" s="36"/>
      <c r="B97" s="37"/>
      <c r="C97" s="37"/>
      <c r="D97" s="42"/>
      <c r="E97" s="46"/>
      <c r="F97" s="38"/>
      <c r="G97" s="38"/>
      <c r="H97" s="39"/>
    </row>
    <row r="98" spans="1:8" ht="20.100000000000001" customHeight="1" x14ac:dyDescent="0.25">
      <c r="A98" s="36"/>
      <c r="B98" s="37"/>
      <c r="C98" s="37"/>
      <c r="D98" s="42"/>
      <c r="E98" s="46"/>
      <c r="F98" s="38"/>
      <c r="G98" s="38"/>
      <c r="H98" s="39"/>
    </row>
    <row r="99" spans="1:8" ht="20.100000000000001" customHeight="1" x14ac:dyDescent="0.25">
      <c r="A99" s="36"/>
      <c r="B99" s="37"/>
      <c r="C99" s="37"/>
      <c r="D99" s="42"/>
      <c r="E99" s="46"/>
      <c r="F99" s="38"/>
      <c r="G99" s="38"/>
      <c r="H99" s="39"/>
    </row>
    <row r="100" spans="1:8" ht="20.100000000000001" customHeight="1" x14ac:dyDescent="0.25">
      <c r="A100" s="36"/>
      <c r="B100" s="37"/>
      <c r="C100" s="37"/>
      <c r="D100" s="42"/>
      <c r="E100" s="46"/>
      <c r="F100" s="38"/>
      <c r="G100" s="38"/>
      <c r="H100" s="39"/>
    </row>
    <row r="101" spans="1:8" ht="20.100000000000001" customHeight="1" x14ac:dyDescent="0.25">
      <c r="A101" s="36"/>
      <c r="B101" s="37"/>
      <c r="C101" s="37"/>
      <c r="D101" s="42"/>
      <c r="E101" s="46"/>
      <c r="F101" s="38"/>
      <c r="G101" s="38"/>
      <c r="H101" s="39"/>
    </row>
    <row r="102" spans="1:8" ht="15.75" thickBot="1" x14ac:dyDescent="0.3">
      <c r="A102" s="30"/>
      <c r="B102" s="27"/>
      <c r="C102" s="28"/>
      <c r="D102" s="31"/>
      <c r="E102" s="47"/>
      <c r="F102" s="57"/>
      <c r="G102" s="57"/>
      <c r="H102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53"/>
  <sheetViews>
    <sheetView topLeftCell="A7" workbookViewId="0">
      <selection activeCell="C15" sqref="C15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17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17" ht="18.75" x14ac:dyDescent="0.3">
      <c r="A2" s="19"/>
      <c r="B2" s="24"/>
      <c r="D2" s="19"/>
      <c r="E2" s="19"/>
      <c r="F2" s="55"/>
    </row>
    <row r="3" spans="1:17" ht="18.75" x14ac:dyDescent="0.3">
      <c r="A3" s="20" t="s">
        <v>251</v>
      </c>
      <c r="C3" s="25">
        <v>428</v>
      </c>
      <c r="D3" s="19"/>
      <c r="E3" s="19"/>
      <c r="F3" s="55"/>
    </row>
    <row r="4" spans="1:17" ht="18.75" x14ac:dyDescent="0.3">
      <c r="A4" s="19"/>
      <c r="B4" s="24"/>
      <c r="D4" s="19"/>
      <c r="E4" s="19"/>
      <c r="F4" s="55"/>
    </row>
    <row r="5" spans="1:17" ht="18.75" x14ac:dyDescent="0.3">
      <c r="A5" s="20" t="s">
        <v>256</v>
      </c>
      <c r="C5" s="26" t="str">
        <f>VLOOKUP(C3,'Liste salariés'!A3:G104,2,FALSE)</f>
        <v>MILAGE Alban</v>
      </c>
      <c r="D5" s="19"/>
      <c r="E5" s="19"/>
      <c r="F5" s="55"/>
    </row>
    <row r="6" spans="1:17" ht="39.75" customHeight="1" x14ac:dyDescent="0.3">
      <c r="A6" s="20" t="s">
        <v>252</v>
      </c>
      <c r="C6" s="23">
        <f>VLOOKUP(C3,'Liste salariés'!A3:J103,6,FALSE)</f>
        <v>37494</v>
      </c>
      <c r="D6" s="20" t="s">
        <v>253</v>
      </c>
      <c r="E6" s="49">
        <f ca="1">(B1-C6)/365</f>
        <v>23.556164383561644</v>
      </c>
      <c r="F6" s="48"/>
    </row>
    <row r="7" spans="1:17" ht="26.25" customHeight="1" x14ac:dyDescent="0.3">
      <c r="A7" s="20" t="s">
        <v>254</v>
      </c>
      <c r="C7" s="23">
        <f>VLOOKUP(C3,'Liste salariés'!A3:J105,3,FALSE)</f>
        <v>44264</v>
      </c>
      <c r="D7" s="20" t="s">
        <v>255</v>
      </c>
      <c r="E7" s="49">
        <f ca="1">(B1-C7)/365</f>
        <v>5.0082191780821921</v>
      </c>
      <c r="F7" s="48"/>
    </row>
    <row r="8" spans="1:17" x14ac:dyDescent="0.25">
      <c r="B8"/>
    </row>
    <row r="9" spans="1:17" x14ac:dyDescent="0.25">
      <c r="B9"/>
    </row>
    <row r="10" spans="1:17" ht="18.75" x14ac:dyDescent="0.3">
      <c r="A10" s="20" t="s">
        <v>257</v>
      </c>
      <c r="B10"/>
    </row>
    <row r="11" spans="1:17" ht="15.75" thickBot="1" x14ac:dyDescent="0.3"/>
    <row r="12" spans="1:17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17" ht="20.100000000000001" customHeight="1" x14ac:dyDescent="0.25">
      <c r="A13" s="32">
        <v>1004</v>
      </c>
      <c r="B13" s="60" t="s">
        <v>206</v>
      </c>
      <c r="C13" s="33"/>
      <c r="D13" s="44"/>
      <c r="E13" s="45"/>
      <c r="F13" s="34"/>
      <c r="G13" s="34">
        <v>2021</v>
      </c>
      <c r="H13" s="35">
        <v>7</v>
      </c>
      <c r="O13" s="18"/>
      <c r="P13" s="18"/>
      <c r="Q13" s="13"/>
    </row>
    <row r="14" spans="1:17" ht="20.100000000000001" customHeight="1" x14ac:dyDescent="0.25">
      <c r="A14" s="36">
        <v>3010</v>
      </c>
      <c r="B14" s="59" t="s">
        <v>35</v>
      </c>
      <c r="C14" s="37"/>
      <c r="D14" s="42"/>
      <c r="E14" s="46"/>
      <c r="F14" s="38"/>
      <c r="G14" s="38">
        <v>2021</v>
      </c>
      <c r="H14" s="39">
        <v>151.66999999999999</v>
      </c>
      <c r="O14" s="18"/>
      <c r="P14" s="18"/>
      <c r="Q14" s="13"/>
    </row>
    <row r="15" spans="1:17" ht="20.100000000000001" customHeight="1" x14ac:dyDescent="0.25">
      <c r="A15" s="36">
        <v>3006</v>
      </c>
      <c r="B15" s="59" t="s">
        <v>25</v>
      </c>
      <c r="C15" s="37"/>
      <c r="D15" s="42"/>
      <c r="E15" s="46"/>
      <c r="F15" s="38"/>
      <c r="G15" s="38">
        <v>2022</v>
      </c>
      <c r="H15" s="39">
        <v>151.66999999999999</v>
      </c>
      <c r="O15" s="18"/>
      <c r="P15" s="18"/>
      <c r="Q15" s="13"/>
    </row>
    <row r="16" spans="1:17" ht="20.100000000000001" customHeight="1" x14ac:dyDescent="0.25">
      <c r="A16" s="36">
        <v>3025</v>
      </c>
      <c r="B16" s="59" t="s">
        <v>42</v>
      </c>
      <c r="C16" s="37"/>
      <c r="D16" s="42"/>
      <c r="E16" s="46"/>
      <c r="F16" s="38"/>
      <c r="G16" s="38">
        <v>2022</v>
      </c>
      <c r="H16" s="39">
        <v>151.66999999999999</v>
      </c>
      <c r="O16" s="18"/>
      <c r="P16" s="18"/>
      <c r="Q16" s="13"/>
    </row>
    <row r="17" spans="1:18" ht="20.100000000000001" customHeight="1" x14ac:dyDescent="0.25">
      <c r="A17" s="36">
        <v>3007</v>
      </c>
      <c r="B17" s="59" t="s">
        <v>26</v>
      </c>
      <c r="C17" s="37"/>
      <c r="D17" s="42"/>
      <c r="E17" s="46"/>
      <c r="F17" s="38"/>
      <c r="G17" s="38">
        <v>2023</v>
      </c>
      <c r="H17" s="39">
        <v>151.66999999999999</v>
      </c>
      <c r="O17" s="18"/>
      <c r="P17" s="18"/>
      <c r="Q17" s="13"/>
    </row>
    <row r="18" spans="1:18" ht="20.100000000000001" customHeight="1" x14ac:dyDescent="0.25">
      <c r="A18" s="36">
        <v>1030</v>
      </c>
      <c r="B18" s="59" t="s">
        <v>146</v>
      </c>
      <c r="C18" s="37"/>
      <c r="D18" s="42"/>
      <c r="E18" s="46"/>
      <c r="F18" s="38"/>
      <c r="G18" s="38">
        <v>2023</v>
      </c>
      <c r="H18" s="39">
        <v>0.5</v>
      </c>
      <c r="O18" s="18"/>
      <c r="P18" s="18"/>
      <c r="Q18" s="13"/>
    </row>
    <row r="19" spans="1:18" ht="20.100000000000001" customHeight="1" x14ac:dyDescent="0.25">
      <c r="A19" s="36">
        <v>1009</v>
      </c>
      <c r="B19" s="59" t="s">
        <v>221</v>
      </c>
      <c r="C19" s="37"/>
      <c r="D19" s="42"/>
      <c r="E19" s="46"/>
      <c r="F19" s="38"/>
      <c r="G19" s="38">
        <v>2024</v>
      </c>
      <c r="H19" s="39">
        <v>2</v>
      </c>
      <c r="O19" s="18"/>
      <c r="P19" s="18"/>
      <c r="Q19" s="13"/>
    </row>
    <row r="20" spans="1:18" ht="20.100000000000001" customHeight="1" x14ac:dyDescent="0.25">
      <c r="A20" s="36">
        <v>1010</v>
      </c>
      <c r="B20" s="59" t="s">
        <v>222</v>
      </c>
      <c r="C20" s="37"/>
      <c r="D20" s="42"/>
      <c r="E20" s="46"/>
      <c r="F20" s="38"/>
      <c r="G20" s="38">
        <v>2024</v>
      </c>
      <c r="H20" s="39">
        <v>2</v>
      </c>
      <c r="O20" s="18"/>
      <c r="P20" s="18"/>
      <c r="Q20" s="13"/>
    </row>
    <row r="21" spans="1:18" ht="20.100000000000001" customHeight="1" x14ac:dyDescent="0.25">
      <c r="A21" s="36">
        <v>3011</v>
      </c>
      <c r="B21" s="59" t="s">
        <v>238</v>
      </c>
      <c r="C21" s="37"/>
      <c r="D21" s="42"/>
      <c r="E21" s="46"/>
      <c r="F21" s="38"/>
      <c r="G21" s="38">
        <v>2024</v>
      </c>
      <c r="H21" s="39">
        <v>16</v>
      </c>
      <c r="O21" s="18"/>
      <c r="P21" s="18"/>
      <c r="Q21" s="13"/>
    </row>
    <row r="22" spans="1:18" ht="20.100000000000001" customHeight="1" x14ac:dyDescent="0.25">
      <c r="A22" s="36">
        <v>3037</v>
      </c>
      <c r="B22" s="59" t="s">
        <v>29</v>
      </c>
      <c r="C22" s="37"/>
      <c r="D22" s="42"/>
      <c r="E22" s="46"/>
      <c r="F22" s="38"/>
      <c r="G22" s="38">
        <v>2024</v>
      </c>
      <c r="H22" s="39">
        <v>151.66999999999999</v>
      </c>
      <c r="O22" s="18"/>
      <c r="P22" s="18"/>
      <c r="Q22" s="13"/>
    </row>
    <row r="23" spans="1:18" ht="20.100000000000001" customHeight="1" x14ac:dyDescent="0.25">
      <c r="A23" s="36">
        <v>3032</v>
      </c>
      <c r="B23" s="59" t="s">
        <v>30</v>
      </c>
      <c r="C23" s="37"/>
      <c r="D23" s="42"/>
      <c r="E23" s="46"/>
      <c r="F23" s="38"/>
      <c r="G23" s="38">
        <v>2025</v>
      </c>
      <c r="H23" s="39">
        <v>35</v>
      </c>
      <c r="O23" s="18"/>
      <c r="P23" s="18"/>
      <c r="Q23" s="13"/>
      <c r="R23" s="15"/>
    </row>
    <row r="24" spans="1:18" ht="20.100000000000001" customHeight="1" x14ac:dyDescent="0.25">
      <c r="A24" s="36"/>
      <c r="B24" s="59"/>
      <c r="C24" s="37"/>
      <c r="D24" s="42"/>
      <c r="E24" s="46"/>
      <c r="F24" s="38"/>
      <c r="G24" s="38"/>
      <c r="H24" s="39"/>
      <c r="Q24" s="13"/>
    </row>
    <row r="25" spans="1:18" ht="20.100000000000001" customHeight="1" x14ac:dyDescent="0.25">
      <c r="A25" s="36"/>
      <c r="B25" s="59"/>
      <c r="C25" s="37"/>
      <c r="D25" s="42"/>
      <c r="E25" s="46"/>
      <c r="F25" s="38"/>
      <c r="G25" s="38"/>
      <c r="H25" s="39"/>
      <c r="Q25" s="13"/>
    </row>
    <row r="26" spans="1:18" ht="20.100000000000001" customHeight="1" x14ac:dyDescent="0.25">
      <c r="A26" s="36"/>
      <c r="B26" s="59"/>
      <c r="C26" s="37"/>
      <c r="D26" s="42"/>
      <c r="E26" s="46"/>
      <c r="F26" s="38"/>
      <c r="G26" s="38"/>
      <c r="H26" s="39"/>
      <c r="Q26" s="13"/>
    </row>
    <row r="27" spans="1:18" ht="20.100000000000001" customHeight="1" x14ac:dyDescent="0.25">
      <c r="A27" s="36"/>
      <c r="B27" s="59"/>
      <c r="C27" s="37"/>
      <c r="D27" s="42"/>
      <c r="E27" s="46"/>
      <c r="F27" s="38"/>
      <c r="G27" s="38"/>
      <c r="H27" s="39"/>
      <c r="Q27" s="13"/>
    </row>
    <row r="28" spans="1:18" ht="20.100000000000001" customHeight="1" x14ac:dyDescent="0.25">
      <c r="A28" s="36"/>
      <c r="B28" s="59"/>
      <c r="C28" s="37"/>
      <c r="D28" s="42"/>
      <c r="E28" s="46"/>
      <c r="F28" s="38"/>
      <c r="G28" s="38"/>
      <c r="H28" s="39"/>
      <c r="Q28" s="13"/>
    </row>
    <row r="29" spans="1:18" ht="20.100000000000001" customHeight="1" x14ac:dyDescent="0.25">
      <c r="A29" s="36"/>
      <c r="B29" s="59"/>
      <c r="C29" s="37"/>
      <c r="D29" s="42"/>
      <c r="E29" s="46"/>
      <c r="F29" s="38"/>
      <c r="G29" s="38"/>
      <c r="H29" s="39"/>
      <c r="Q29" s="13"/>
    </row>
    <row r="30" spans="1:18" ht="20.100000000000001" customHeight="1" x14ac:dyDescent="0.25">
      <c r="A30" s="36"/>
      <c r="B30" s="59"/>
      <c r="C30" s="37"/>
      <c r="D30" s="42"/>
      <c r="E30" s="46"/>
      <c r="F30" s="38"/>
      <c r="G30" s="38"/>
      <c r="H30" s="39"/>
      <c r="Q30" s="13"/>
    </row>
    <row r="31" spans="1:18" ht="20.100000000000001" customHeight="1" x14ac:dyDescent="0.25">
      <c r="A31" s="36"/>
      <c r="B31" s="59"/>
      <c r="C31" s="37"/>
      <c r="D31" s="42"/>
      <c r="E31" s="46"/>
      <c r="F31" s="38"/>
      <c r="G31" s="38"/>
      <c r="H31" s="39"/>
      <c r="Q31" s="13"/>
    </row>
    <row r="32" spans="1:18" ht="20.100000000000001" customHeight="1" x14ac:dyDescent="0.25">
      <c r="A32" s="36"/>
      <c r="B32" s="59"/>
      <c r="C32" s="37"/>
      <c r="D32" s="42"/>
      <c r="E32" s="46"/>
      <c r="F32" s="38"/>
      <c r="G32" s="38"/>
      <c r="H32" s="39"/>
      <c r="Q32" s="13"/>
    </row>
    <row r="33" spans="1:17" ht="20.100000000000001" customHeight="1" x14ac:dyDescent="0.25">
      <c r="A33" s="36"/>
      <c r="B33" s="37"/>
      <c r="C33" s="37"/>
      <c r="D33" s="42"/>
      <c r="E33" s="46"/>
      <c r="F33" s="38"/>
      <c r="G33" s="38"/>
      <c r="H33" s="39"/>
      <c r="Q33" s="13"/>
    </row>
    <row r="34" spans="1:17" ht="20.100000000000001" customHeight="1" x14ac:dyDescent="0.25">
      <c r="A34" s="36"/>
      <c r="B34" s="37"/>
      <c r="C34" s="37"/>
      <c r="D34" s="42"/>
      <c r="E34" s="46"/>
      <c r="F34" s="38"/>
      <c r="G34" s="38"/>
      <c r="H34" s="39"/>
      <c r="Q34" s="13"/>
    </row>
    <row r="35" spans="1:17" ht="20.100000000000001" customHeight="1" x14ac:dyDescent="0.25">
      <c r="A35" s="36"/>
      <c r="B35" s="37"/>
      <c r="C35" s="37"/>
      <c r="D35" s="42"/>
      <c r="E35" s="46"/>
      <c r="F35" s="38"/>
      <c r="G35" s="38"/>
      <c r="H35" s="39"/>
      <c r="Q35" s="13"/>
    </row>
    <row r="36" spans="1:17" ht="20.100000000000001" customHeight="1" x14ac:dyDescent="0.25">
      <c r="A36" s="36"/>
      <c r="B36" s="37"/>
      <c r="C36" s="37"/>
      <c r="D36" s="42"/>
      <c r="E36" s="46"/>
      <c r="F36" s="38"/>
      <c r="G36" s="38"/>
      <c r="H36" s="39"/>
      <c r="Q36" s="13"/>
    </row>
    <row r="37" spans="1:17" ht="20.100000000000001" customHeight="1" x14ac:dyDescent="0.25">
      <c r="A37" s="36"/>
      <c r="B37" s="37"/>
      <c r="C37" s="37"/>
      <c r="D37" s="42"/>
      <c r="E37" s="46"/>
      <c r="F37" s="38"/>
      <c r="G37" s="38"/>
      <c r="H37" s="39"/>
      <c r="Q37" s="13"/>
    </row>
    <row r="38" spans="1:17" ht="20.100000000000001" customHeight="1" x14ac:dyDescent="0.25">
      <c r="A38" s="36"/>
      <c r="B38" s="37"/>
      <c r="C38" s="37"/>
      <c r="D38" s="42"/>
      <c r="E38" s="46"/>
      <c r="F38" s="38"/>
      <c r="G38" s="38"/>
      <c r="H38" s="39"/>
      <c r="Q38" s="13"/>
    </row>
    <row r="39" spans="1:17" ht="20.100000000000001" customHeight="1" x14ac:dyDescent="0.25">
      <c r="A39" s="36"/>
      <c r="B39" s="37"/>
      <c r="C39" s="37"/>
      <c r="D39" s="42"/>
      <c r="E39" s="46"/>
      <c r="F39" s="38"/>
      <c r="G39" s="38"/>
      <c r="H39" s="39"/>
      <c r="Q39" s="13"/>
    </row>
    <row r="40" spans="1:17" ht="20.100000000000001" customHeight="1" x14ac:dyDescent="0.25">
      <c r="A40" s="36"/>
      <c r="B40" s="37"/>
      <c r="C40" s="37"/>
      <c r="D40" s="42"/>
      <c r="E40" s="46"/>
      <c r="F40" s="38"/>
      <c r="G40" s="38"/>
      <c r="H40" s="39"/>
      <c r="Q40" s="13"/>
    </row>
    <row r="41" spans="1:17" ht="20.100000000000001" customHeight="1" x14ac:dyDescent="0.25">
      <c r="A41" s="36"/>
      <c r="B41" s="37"/>
      <c r="C41" s="37"/>
      <c r="D41" s="42"/>
      <c r="E41" s="46"/>
      <c r="F41" s="38"/>
      <c r="G41" s="38"/>
      <c r="H41" s="39"/>
      <c r="Q41" s="13"/>
    </row>
    <row r="42" spans="1:17" ht="20.100000000000001" customHeight="1" x14ac:dyDescent="0.25">
      <c r="A42" s="36"/>
      <c r="B42" s="37"/>
      <c r="C42" s="37"/>
      <c r="D42" s="42"/>
      <c r="E42" s="46"/>
      <c r="F42" s="38"/>
      <c r="G42" s="38"/>
      <c r="H42" s="39"/>
      <c r="Q42" s="13"/>
    </row>
    <row r="43" spans="1:17" ht="20.100000000000001" customHeight="1" x14ac:dyDescent="0.25">
      <c r="A43" s="36"/>
      <c r="B43" s="37"/>
      <c r="C43" s="37"/>
      <c r="D43" s="42"/>
      <c r="E43" s="46"/>
      <c r="F43" s="38"/>
      <c r="G43" s="38"/>
      <c r="H43" s="39"/>
      <c r="Q43" s="13"/>
    </row>
    <row r="44" spans="1:17" ht="20.100000000000001" customHeight="1" x14ac:dyDescent="0.25">
      <c r="A44" s="36"/>
      <c r="B44" s="37"/>
      <c r="C44" s="37"/>
      <c r="D44" s="42"/>
      <c r="E44" s="46"/>
      <c r="F44" s="38"/>
      <c r="G44" s="38"/>
      <c r="H44" s="39"/>
      <c r="Q44" s="13"/>
    </row>
    <row r="45" spans="1:17" ht="20.100000000000001" customHeight="1" x14ac:dyDescent="0.25">
      <c r="A45" s="36"/>
      <c r="B45" s="37"/>
      <c r="C45" s="37"/>
      <c r="D45" s="42"/>
      <c r="E45" s="46"/>
      <c r="F45" s="38"/>
      <c r="G45" s="38"/>
      <c r="H45" s="39"/>
      <c r="Q45" s="13"/>
    </row>
    <row r="46" spans="1:17" ht="20.100000000000001" customHeight="1" x14ac:dyDescent="0.25">
      <c r="A46" s="36"/>
      <c r="B46" s="37"/>
      <c r="C46" s="37"/>
      <c r="D46" s="42"/>
      <c r="E46" s="46"/>
      <c r="F46" s="38"/>
      <c r="G46" s="38"/>
      <c r="H46" s="39"/>
      <c r="Q46" s="13"/>
    </row>
    <row r="47" spans="1:17" ht="20.100000000000001" customHeight="1" x14ac:dyDescent="0.25">
      <c r="A47" s="36"/>
      <c r="B47" s="37"/>
      <c r="C47" s="37"/>
      <c r="D47" s="42"/>
      <c r="E47" s="46"/>
      <c r="F47" s="38"/>
      <c r="G47" s="38"/>
      <c r="H47" s="39"/>
      <c r="Q47" s="13"/>
    </row>
    <row r="48" spans="1:17" ht="20.100000000000001" customHeight="1" x14ac:dyDescent="0.25">
      <c r="A48" s="36"/>
      <c r="B48" s="37"/>
      <c r="C48" s="37"/>
      <c r="D48" s="42"/>
      <c r="E48" s="46"/>
      <c r="F48" s="38"/>
      <c r="G48" s="38"/>
      <c r="H48" s="39"/>
      <c r="Q48" s="13"/>
    </row>
    <row r="49" spans="1:17" ht="20.100000000000001" customHeight="1" x14ac:dyDescent="0.25">
      <c r="A49" s="36"/>
      <c r="B49" s="37"/>
      <c r="C49" s="37"/>
      <c r="D49" s="42"/>
      <c r="E49" s="46"/>
      <c r="F49" s="38"/>
      <c r="G49" s="38"/>
      <c r="H49" s="39"/>
      <c r="Q49" s="13"/>
    </row>
    <row r="50" spans="1:17" ht="20.100000000000001" customHeight="1" x14ac:dyDescent="0.25">
      <c r="A50" s="36"/>
      <c r="B50" s="37"/>
      <c r="C50" s="37"/>
      <c r="D50" s="42"/>
      <c r="E50" s="46"/>
      <c r="F50" s="38"/>
      <c r="G50" s="38"/>
      <c r="H50" s="39"/>
      <c r="Q50" s="13"/>
    </row>
    <row r="51" spans="1:17" ht="20.100000000000001" customHeight="1" x14ac:dyDescent="0.25">
      <c r="A51" s="36"/>
      <c r="B51" s="37"/>
      <c r="C51" s="37"/>
      <c r="D51" s="42"/>
      <c r="E51" s="46"/>
      <c r="F51" s="38"/>
      <c r="G51" s="38"/>
      <c r="H51" s="39"/>
      <c r="Q51" s="13"/>
    </row>
    <row r="52" spans="1:17" ht="20.100000000000001" customHeight="1" x14ac:dyDescent="0.25">
      <c r="A52" s="36"/>
      <c r="B52" s="37"/>
      <c r="C52" s="37"/>
      <c r="D52" s="42"/>
      <c r="E52" s="46"/>
      <c r="F52" s="38"/>
      <c r="G52" s="38"/>
      <c r="H52" s="39"/>
      <c r="Q52" s="13"/>
    </row>
    <row r="53" spans="1:17" ht="15.75" thickBot="1" x14ac:dyDescent="0.3">
      <c r="A53" s="30"/>
      <c r="B53" s="27"/>
      <c r="C53" s="28"/>
      <c r="D53" s="31"/>
      <c r="E53" s="47"/>
      <c r="F53" s="57"/>
      <c r="G53" s="57"/>
      <c r="H53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3"/>
  <sheetViews>
    <sheetView workbookViewId="0">
      <selection activeCell="M12" sqref="M12:W29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17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17" ht="18.75" x14ac:dyDescent="0.3">
      <c r="A2" s="19"/>
      <c r="B2" s="24"/>
      <c r="D2" s="19"/>
      <c r="E2" s="19"/>
      <c r="F2" s="55"/>
    </row>
    <row r="3" spans="1:17" ht="18.75" x14ac:dyDescent="0.3">
      <c r="A3" s="20" t="s">
        <v>251</v>
      </c>
      <c r="C3" s="25">
        <v>403</v>
      </c>
      <c r="D3" s="19"/>
      <c r="E3" s="19"/>
      <c r="F3" s="55"/>
    </row>
    <row r="4" spans="1:17" ht="18.75" x14ac:dyDescent="0.3">
      <c r="A4" s="19"/>
      <c r="B4" s="24"/>
      <c r="D4" s="19"/>
      <c r="E4" s="19"/>
      <c r="F4" s="55"/>
    </row>
    <row r="5" spans="1:17" ht="18.75" x14ac:dyDescent="0.3">
      <c r="A5" s="20" t="s">
        <v>256</v>
      </c>
      <c r="C5" s="26" t="str">
        <f>VLOOKUP(C3,'Liste salariés'!A3:G104,2,FALSE)</f>
        <v>CAZENAVE Jean</v>
      </c>
      <c r="D5" s="19"/>
      <c r="E5" s="19"/>
      <c r="F5" s="55"/>
    </row>
    <row r="6" spans="1:17" ht="39.75" customHeight="1" x14ac:dyDescent="0.3">
      <c r="A6" s="20" t="s">
        <v>252</v>
      </c>
      <c r="C6" s="23">
        <f>VLOOKUP(C3,'Liste salariés'!A3:J103,6,FALSE)</f>
        <v>37368</v>
      </c>
      <c r="D6" s="20" t="s">
        <v>253</v>
      </c>
      <c r="E6" s="49">
        <f ca="1">(B1-C6)/365</f>
        <v>23.901369863013699</v>
      </c>
      <c r="F6" s="48"/>
    </row>
    <row r="7" spans="1:17" ht="26.25" customHeight="1" x14ac:dyDescent="0.3">
      <c r="A7" s="20" t="s">
        <v>254</v>
      </c>
      <c r="C7" s="23">
        <f>VLOOKUP(C3,'Liste salariés'!A3:J105,3,FALSE)</f>
        <v>44060</v>
      </c>
      <c r="D7" s="20" t="s">
        <v>255</v>
      </c>
      <c r="E7" s="49">
        <f ca="1">(B1-C7)/365</f>
        <v>5.5671232876712331</v>
      </c>
      <c r="F7" s="48"/>
    </row>
    <row r="8" spans="1:17" x14ac:dyDescent="0.25">
      <c r="B8"/>
    </row>
    <row r="9" spans="1:17" x14ac:dyDescent="0.25">
      <c r="B9"/>
    </row>
    <row r="10" spans="1:17" ht="18.75" x14ac:dyDescent="0.3">
      <c r="A10" s="20" t="s">
        <v>257</v>
      </c>
      <c r="B10"/>
    </row>
    <row r="11" spans="1:17" ht="15.75" thickBot="1" x14ac:dyDescent="0.3"/>
    <row r="12" spans="1:17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17" ht="20.100000000000001" customHeight="1" x14ac:dyDescent="0.25">
      <c r="A13" s="32">
        <v>3041</v>
      </c>
      <c r="B13" s="60" t="s">
        <v>36</v>
      </c>
      <c r="C13" s="33"/>
      <c r="D13" s="44"/>
      <c r="E13" s="45"/>
      <c r="F13" s="34"/>
      <c r="G13" s="34">
        <v>2020</v>
      </c>
      <c r="H13" s="35">
        <v>360</v>
      </c>
      <c r="Q13" s="13"/>
    </row>
    <row r="14" spans="1:17" ht="20.100000000000001" customHeight="1" x14ac:dyDescent="0.25">
      <c r="A14" s="36">
        <v>3016</v>
      </c>
      <c r="B14" s="59" t="s">
        <v>50</v>
      </c>
      <c r="C14" s="37"/>
      <c r="D14" s="42"/>
      <c r="E14" s="46"/>
      <c r="F14" s="38"/>
      <c r="G14" s="38">
        <v>2020</v>
      </c>
      <c r="H14" s="39">
        <v>26</v>
      </c>
      <c r="Q14" s="13"/>
    </row>
    <row r="15" spans="1:17" ht="20.100000000000001" customHeight="1" x14ac:dyDescent="0.25">
      <c r="A15" s="36">
        <v>3007</v>
      </c>
      <c r="B15" s="59" t="s">
        <v>26</v>
      </c>
      <c r="C15" s="37"/>
      <c r="D15" s="42"/>
      <c r="E15" s="46"/>
      <c r="F15" s="38"/>
      <c r="G15" s="38">
        <v>2020</v>
      </c>
      <c r="H15" s="39">
        <v>151.66999999999999</v>
      </c>
      <c r="Q15" s="13"/>
    </row>
    <row r="16" spans="1:17" ht="20.100000000000001" customHeight="1" x14ac:dyDescent="0.25">
      <c r="A16" s="36">
        <v>1004</v>
      </c>
      <c r="B16" s="59" t="s">
        <v>206</v>
      </c>
      <c r="C16" s="37"/>
      <c r="D16" s="42"/>
      <c r="E16" s="46"/>
      <c r="F16" s="38"/>
      <c r="G16" s="38">
        <v>2020</v>
      </c>
      <c r="H16" s="39">
        <v>7</v>
      </c>
      <c r="Q16" s="13"/>
    </row>
    <row r="17" spans="1:17" ht="20.100000000000001" customHeight="1" x14ac:dyDescent="0.25">
      <c r="A17" s="36">
        <v>3002</v>
      </c>
      <c r="B17" s="59" t="s">
        <v>24</v>
      </c>
      <c r="C17" s="37"/>
      <c r="D17" s="42"/>
      <c r="E17" s="46"/>
      <c r="F17" s="38"/>
      <c r="G17" s="38">
        <v>2021</v>
      </c>
      <c r="H17" s="39">
        <v>151.66999999999999</v>
      </c>
      <c r="Q17" s="13"/>
    </row>
    <row r="18" spans="1:17" ht="20.100000000000001" customHeight="1" x14ac:dyDescent="0.25">
      <c r="A18" s="36">
        <v>3016</v>
      </c>
      <c r="B18" s="59" t="s">
        <v>50</v>
      </c>
      <c r="C18" s="37"/>
      <c r="D18" s="42"/>
      <c r="E18" s="46"/>
      <c r="F18" s="38"/>
      <c r="G18" s="38">
        <v>2021</v>
      </c>
      <c r="H18" s="39">
        <v>151.66999999999999</v>
      </c>
      <c r="Q18" s="13"/>
    </row>
    <row r="19" spans="1:17" ht="20.100000000000001" customHeight="1" x14ac:dyDescent="0.25">
      <c r="A19" s="36">
        <v>3001</v>
      </c>
      <c r="B19" s="59" t="s">
        <v>23</v>
      </c>
      <c r="C19" s="37"/>
      <c r="D19" s="42"/>
      <c r="E19" s="46"/>
      <c r="F19" s="38"/>
      <c r="G19" s="38">
        <v>2023</v>
      </c>
      <c r="H19" s="39">
        <v>151.66999999999999</v>
      </c>
      <c r="Q19" s="13"/>
    </row>
    <row r="20" spans="1:17" ht="20.100000000000001" customHeight="1" x14ac:dyDescent="0.25">
      <c r="A20" s="36">
        <v>3004</v>
      </c>
      <c r="B20" s="59" t="s">
        <v>34</v>
      </c>
      <c r="C20" s="37"/>
      <c r="D20" s="42"/>
      <c r="E20" s="46"/>
      <c r="F20" s="38"/>
      <c r="G20" s="38">
        <v>2023</v>
      </c>
      <c r="H20" s="39">
        <v>151.66999999999999</v>
      </c>
      <c r="Q20" s="13"/>
    </row>
    <row r="21" spans="1:17" ht="20.100000000000001" customHeight="1" x14ac:dyDescent="0.25">
      <c r="A21" s="36">
        <v>3008</v>
      </c>
      <c r="B21" s="59" t="s">
        <v>33</v>
      </c>
      <c r="C21" s="37"/>
      <c r="D21" s="42"/>
      <c r="E21" s="46"/>
      <c r="F21" s="38"/>
      <c r="G21" s="38">
        <v>2024</v>
      </c>
      <c r="H21" s="39">
        <v>151.66999999999999</v>
      </c>
      <c r="Q21" s="13"/>
    </row>
    <row r="22" spans="1:17" ht="20.100000000000001" customHeight="1" x14ac:dyDescent="0.25">
      <c r="A22" s="36">
        <v>3037</v>
      </c>
      <c r="B22" s="59" t="s">
        <v>29</v>
      </c>
      <c r="C22" s="37"/>
      <c r="D22" s="42"/>
      <c r="E22" s="46"/>
      <c r="F22" s="38"/>
      <c r="G22" s="38">
        <v>2024</v>
      </c>
      <c r="H22" s="39">
        <v>151.66999999999999</v>
      </c>
      <c r="Q22" s="13"/>
    </row>
    <row r="23" spans="1:17" ht="20.100000000000001" customHeight="1" x14ac:dyDescent="0.25">
      <c r="A23" s="36">
        <v>2031</v>
      </c>
      <c r="B23" s="59" t="s">
        <v>180</v>
      </c>
      <c r="C23" s="37"/>
      <c r="D23" s="42"/>
      <c r="E23" s="46"/>
      <c r="F23" s="38"/>
      <c r="G23" s="38">
        <v>2024</v>
      </c>
      <c r="H23" s="39">
        <v>2</v>
      </c>
      <c r="Q23" s="13"/>
    </row>
    <row r="24" spans="1:17" ht="20.100000000000001" customHeight="1" x14ac:dyDescent="0.25">
      <c r="A24" s="36">
        <v>1020</v>
      </c>
      <c r="B24" s="59" t="s">
        <v>202</v>
      </c>
      <c r="C24" s="37"/>
      <c r="D24" s="42"/>
      <c r="E24" s="46"/>
      <c r="F24" s="38"/>
      <c r="G24" s="38">
        <v>2024</v>
      </c>
      <c r="H24" s="39">
        <v>3.5</v>
      </c>
      <c r="Q24" s="13"/>
    </row>
    <row r="25" spans="1:17" ht="20.100000000000001" customHeight="1" x14ac:dyDescent="0.25">
      <c r="A25" s="36">
        <v>1006</v>
      </c>
      <c r="B25" s="59" t="s">
        <v>150</v>
      </c>
      <c r="C25" s="37"/>
      <c r="D25" s="42"/>
      <c r="E25" s="46"/>
      <c r="F25" s="38"/>
      <c r="G25" s="38">
        <v>2024</v>
      </c>
      <c r="H25" s="39">
        <v>14</v>
      </c>
      <c r="Q25" s="13"/>
    </row>
    <row r="26" spans="1:17" ht="20.100000000000001" customHeight="1" x14ac:dyDescent="0.25">
      <c r="A26" s="36">
        <v>1033</v>
      </c>
      <c r="B26" s="59" t="s">
        <v>248</v>
      </c>
      <c r="C26" s="37"/>
      <c r="D26" s="42"/>
      <c r="E26" s="46"/>
      <c r="F26" s="38"/>
      <c r="G26" s="38">
        <v>2024</v>
      </c>
      <c r="H26" s="39">
        <v>1.5</v>
      </c>
      <c r="Q26" s="13"/>
    </row>
    <row r="27" spans="1:17" ht="20.100000000000001" customHeight="1" x14ac:dyDescent="0.25">
      <c r="A27" s="36">
        <v>3048</v>
      </c>
      <c r="B27" s="59" t="s">
        <v>277</v>
      </c>
      <c r="C27" s="37"/>
      <c r="D27" s="42"/>
      <c r="E27" s="46"/>
      <c r="F27" s="38"/>
      <c r="G27" s="38">
        <v>2025</v>
      </c>
      <c r="H27" s="39">
        <v>30</v>
      </c>
      <c r="Q27" s="13"/>
    </row>
    <row r="28" spans="1:17" ht="20.100000000000001" customHeight="1" x14ac:dyDescent="0.25">
      <c r="A28" s="36"/>
      <c r="B28" s="59"/>
      <c r="C28" s="37"/>
      <c r="D28" s="42"/>
      <c r="E28" s="46"/>
      <c r="F28" s="38"/>
      <c r="G28" s="38"/>
      <c r="H28" s="39"/>
      <c r="Q28" s="13"/>
    </row>
    <row r="29" spans="1:17" ht="20.100000000000001" customHeight="1" x14ac:dyDescent="0.25">
      <c r="A29" s="36"/>
      <c r="B29" s="59"/>
      <c r="C29" s="37"/>
      <c r="D29" s="42"/>
      <c r="E29" s="46"/>
      <c r="F29" s="38"/>
      <c r="G29" s="38"/>
      <c r="H29" s="39"/>
      <c r="Q29" s="13"/>
    </row>
    <row r="30" spans="1:17" ht="20.100000000000001" customHeight="1" x14ac:dyDescent="0.25">
      <c r="A30" s="36"/>
      <c r="B30" s="59"/>
      <c r="C30" s="37"/>
      <c r="D30" s="42"/>
      <c r="E30" s="46"/>
      <c r="F30" s="38"/>
      <c r="G30" s="38"/>
      <c r="H30" s="39"/>
      <c r="Q30" s="13"/>
    </row>
    <row r="31" spans="1:17" ht="20.100000000000001" customHeight="1" x14ac:dyDescent="0.25">
      <c r="A31" s="36"/>
      <c r="B31" s="59"/>
      <c r="C31" s="37"/>
      <c r="D31" s="42"/>
      <c r="E31" s="46"/>
      <c r="F31" s="38"/>
      <c r="G31" s="38"/>
      <c r="H31" s="39"/>
      <c r="Q31" s="13"/>
    </row>
    <row r="32" spans="1:17" ht="20.100000000000001" customHeight="1" x14ac:dyDescent="0.25">
      <c r="A32" s="36"/>
      <c r="B32" s="59"/>
      <c r="C32" s="37"/>
      <c r="D32" s="42"/>
      <c r="E32" s="46"/>
      <c r="F32" s="38"/>
      <c r="G32" s="38"/>
      <c r="H32" s="39"/>
      <c r="Q32" s="13"/>
    </row>
    <row r="33" spans="1:17" ht="20.100000000000001" customHeight="1" x14ac:dyDescent="0.25">
      <c r="A33" s="36"/>
      <c r="B33" s="37"/>
      <c r="C33" s="37"/>
      <c r="D33" s="42"/>
      <c r="E33" s="46"/>
      <c r="F33" s="38"/>
      <c r="G33" s="38"/>
      <c r="H33" s="39"/>
      <c r="Q33" s="13"/>
    </row>
    <row r="34" spans="1:17" ht="20.100000000000001" customHeight="1" x14ac:dyDescent="0.25">
      <c r="A34" s="36"/>
      <c r="B34" s="37"/>
      <c r="C34" s="37"/>
      <c r="D34" s="42"/>
      <c r="E34" s="46"/>
      <c r="F34" s="38"/>
      <c r="G34" s="38"/>
      <c r="H34" s="39"/>
      <c r="Q34" s="13"/>
    </row>
    <row r="35" spans="1:17" ht="20.100000000000001" customHeight="1" x14ac:dyDescent="0.25">
      <c r="A35" s="36"/>
      <c r="B35" s="37"/>
      <c r="C35" s="37"/>
      <c r="D35" s="42"/>
      <c r="E35" s="46"/>
      <c r="F35" s="38"/>
      <c r="G35" s="38"/>
      <c r="H35" s="39"/>
      <c r="Q35" s="13"/>
    </row>
    <row r="36" spans="1:17" ht="20.100000000000001" customHeight="1" x14ac:dyDescent="0.25">
      <c r="A36" s="36"/>
      <c r="B36" s="37"/>
      <c r="C36" s="37"/>
      <c r="D36" s="42"/>
      <c r="E36" s="46"/>
      <c r="F36" s="38"/>
      <c r="G36" s="38"/>
      <c r="H36" s="39"/>
      <c r="Q36" s="13"/>
    </row>
    <row r="37" spans="1:17" ht="20.100000000000001" customHeight="1" x14ac:dyDescent="0.25">
      <c r="A37" s="36"/>
      <c r="B37" s="37"/>
      <c r="C37" s="37"/>
      <c r="D37" s="42"/>
      <c r="E37" s="46"/>
      <c r="F37" s="38"/>
      <c r="G37" s="38"/>
      <c r="H37" s="39"/>
      <c r="Q37" s="13"/>
    </row>
    <row r="38" spans="1:17" ht="20.100000000000001" customHeight="1" x14ac:dyDescent="0.25">
      <c r="A38" s="36"/>
      <c r="B38" s="37"/>
      <c r="C38" s="37"/>
      <c r="D38" s="42"/>
      <c r="E38" s="46"/>
      <c r="F38" s="38"/>
      <c r="G38" s="38"/>
      <c r="H38" s="39"/>
      <c r="Q38" s="13"/>
    </row>
    <row r="39" spans="1:17" ht="20.100000000000001" customHeight="1" x14ac:dyDescent="0.25">
      <c r="A39" s="36"/>
      <c r="B39" s="37"/>
      <c r="C39" s="37"/>
      <c r="D39" s="42"/>
      <c r="E39" s="46"/>
      <c r="F39" s="38"/>
      <c r="G39" s="38"/>
      <c r="H39" s="39"/>
      <c r="Q39" s="13"/>
    </row>
    <row r="40" spans="1:17" ht="20.100000000000001" customHeight="1" x14ac:dyDescent="0.25">
      <c r="A40" s="36"/>
      <c r="B40" s="37"/>
      <c r="C40" s="37"/>
      <c r="D40" s="42"/>
      <c r="E40" s="46"/>
      <c r="F40" s="38"/>
      <c r="G40" s="38"/>
      <c r="H40" s="39"/>
      <c r="Q40" s="13"/>
    </row>
    <row r="41" spans="1:17" ht="20.100000000000001" customHeight="1" x14ac:dyDescent="0.25">
      <c r="A41" s="36"/>
      <c r="B41" s="37"/>
      <c r="C41" s="37"/>
      <c r="D41" s="42"/>
      <c r="E41" s="46"/>
      <c r="F41" s="38"/>
      <c r="G41" s="38"/>
      <c r="H41" s="39"/>
      <c r="Q41" s="13"/>
    </row>
    <row r="42" spans="1:17" ht="20.100000000000001" customHeight="1" x14ac:dyDescent="0.25">
      <c r="A42" s="36"/>
      <c r="B42" s="37"/>
      <c r="C42" s="37"/>
      <c r="D42" s="42"/>
      <c r="E42" s="46"/>
      <c r="F42" s="38"/>
      <c r="G42" s="38"/>
      <c r="H42" s="39"/>
      <c r="Q42" s="13"/>
    </row>
    <row r="43" spans="1:17" ht="20.100000000000001" customHeight="1" x14ac:dyDescent="0.25">
      <c r="A43" s="36"/>
      <c r="B43" s="37"/>
      <c r="C43" s="37"/>
      <c r="D43" s="42"/>
      <c r="E43" s="46"/>
      <c r="F43" s="38"/>
      <c r="G43" s="38"/>
      <c r="H43" s="39"/>
      <c r="Q43" s="13"/>
    </row>
    <row r="44" spans="1:17" ht="20.100000000000001" customHeight="1" x14ac:dyDescent="0.25">
      <c r="A44" s="36"/>
      <c r="B44" s="37"/>
      <c r="C44" s="37"/>
      <c r="D44" s="42"/>
      <c r="E44" s="46"/>
      <c r="F44" s="38"/>
      <c r="G44" s="38"/>
      <c r="H44" s="39"/>
      <c r="Q44" s="13"/>
    </row>
    <row r="45" spans="1:17" ht="20.100000000000001" customHeight="1" x14ac:dyDescent="0.25">
      <c r="A45" s="36"/>
      <c r="B45" s="37"/>
      <c r="C45" s="37"/>
      <c r="D45" s="42"/>
      <c r="E45" s="46"/>
      <c r="F45" s="38"/>
      <c r="G45" s="38"/>
      <c r="H45" s="39"/>
      <c r="Q45" s="13"/>
    </row>
    <row r="46" spans="1:17" ht="20.100000000000001" customHeight="1" x14ac:dyDescent="0.25">
      <c r="A46" s="36"/>
      <c r="B46" s="37"/>
      <c r="C46" s="37"/>
      <c r="D46" s="42"/>
      <c r="E46" s="46"/>
      <c r="F46" s="38"/>
      <c r="G46" s="38"/>
      <c r="H46" s="39"/>
      <c r="Q46" s="13"/>
    </row>
    <row r="47" spans="1:17" ht="20.100000000000001" customHeight="1" x14ac:dyDescent="0.25">
      <c r="A47" s="36"/>
      <c r="B47" s="37"/>
      <c r="C47" s="37"/>
      <c r="D47" s="42"/>
      <c r="E47" s="46"/>
      <c r="F47" s="38"/>
      <c r="G47" s="38"/>
      <c r="H47" s="39"/>
      <c r="Q47" s="13"/>
    </row>
    <row r="48" spans="1:17" ht="20.100000000000001" customHeight="1" x14ac:dyDescent="0.25">
      <c r="A48" s="36"/>
      <c r="B48" s="37"/>
      <c r="C48" s="37"/>
      <c r="D48" s="42"/>
      <c r="E48" s="46"/>
      <c r="F48" s="38"/>
      <c r="G48" s="38"/>
      <c r="H48" s="39"/>
      <c r="Q48" s="13"/>
    </row>
    <row r="49" spans="1:17" ht="20.100000000000001" customHeight="1" x14ac:dyDescent="0.25">
      <c r="A49" s="36"/>
      <c r="B49" s="37"/>
      <c r="C49" s="37"/>
      <c r="D49" s="42"/>
      <c r="E49" s="46"/>
      <c r="F49" s="38"/>
      <c r="G49" s="38"/>
      <c r="H49" s="39"/>
      <c r="Q49" s="13"/>
    </row>
    <row r="50" spans="1:17" ht="20.100000000000001" customHeight="1" x14ac:dyDescent="0.25">
      <c r="A50" s="36"/>
      <c r="B50" s="37"/>
      <c r="C50" s="37"/>
      <c r="D50" s="42"/>
      <c r="E50" s="46"/>
      <c r="F50" s="38"/>
      <c r="G50" s="38"/>
      <c r="H50" s="39"/>
      <c r="Q50" s="13"/>
    </row>
    <row r="51" spans="1:17" ht="20.100000000000001" customHeight="1" x14ac:dyDescent="0.25">
      <c r="A51" s="36"/>
      <c r="B51" s="37"/>
      <c r="C51" s="37"/>
      <c r="D51" s="42"/>
      <c r="E51" s="46"/>
      <c r="F51" s="38"/>
      <c r="G51" s="38"/>
      <c r="H51" s="39"/>
      <c r="Q51" s="13"/>
    </row>
    <row r="52" spans="1:17" ht="20.100000000000001" customHeight="1" x14ac:dyDescent="0.25">
      <c r="A52" s="36"/>
      <c r="B52" s="37"/>
      <c r="C52" s="37"/>
      <c r="D52" s="42"/>
      <c r="E52" s="46"/>
      <c r="F52" s="38"/>
      <c r="G52" s="38"/>
      <c r="H52" s="39"/>
      <c r="Q52" s="13"/>
    </row>
    <row r="53" spans="1:17" ht="15.75" thickBot="1" x14ac:dyDescent="0.3">
      <c r="A53" s="30"/>
      <c r="B53" s="27"/>
      <c r="C53" s="28"/>
      <c r="D53" s="31"/>
      <c r="E53" s="47"/>
      <c r="F53" s="57"/>
      <c r="G53" s="57"/>
      <c r="H53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3"/>
  <sheetViews>
    <sheetView topLeftCell="A7" workbookViewId="0">
      <selection activeCell="K21" sqref="K21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17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17" ht="18.75" x14ac:dyDescent="0.3">
      <c r="A2" s="19"/>
      <c r="B2" s="24"/>
      <c r="D2" s="19"/>
      <c r="E2" s="19"/>
      <c r="F2" s="55"/>
    </row>
    <row r="3" spans="1:17" ht="18.75" x14ac:dyDescent="0.3">
      <c r="A3" s="20" t="s">
        <v>251</v>
      </c>
      <c r="C3" s="25">
        <v>190</v>
      </c>
      <c r="D3" s="19"/>
      <c r="E3" s="19"/>
      <c r="F3" s="55"/>
    </row>
    <row r="4" spans="1:17" ht="18.75" x14ac:dyDescent="0.3">
      <c r="A4" s="19"/>
      <c r="B4" s="24"/>
      <c r="D4" s="19"/>
      <c r="E4" s="19"/>
      <c r="F4" s="55"/>
    </row>
    <row r="5" spans="1:17" ht="18.75" x14ac:dyDescent="0.3">
      <c r="A5" s="20" t="s">
        <v>256</v>
      </c>
      <c r="C5" s="26" t="str">
        <f>VLOOKUP(C3,'Liste salariés'!A3:G104,2,FALSE)</f>
        <v>VERGE Olivier</v>
      </c>
      <c r="D5" s="19"/>
      <c r="E5" s="19"/>
      <c r="F5" s="55"/>
    </row>
    <row r="6" spans="1:17" ht="39.75" customHeight="1" x14ac:dyDescent="0.3">
      <c r="A6" s="20" t="s">
        <v>252</v>
      </c>
      <c r="C6" s="23">
        <f>VLOOKUP(C3,'Liste salariés'!A3:J103,6,FALSE)</f>
        <v>25066</v>
      </c>
      <c r="D6" s="20" t="s">
        <v>253</v>
      </c>
      <c r="E6" s="49">
        <f ca="1">(B1-C6)/365</f>
        <v>57.605479452054794</v>
      </c>
      <c r="F6" s="48"/>
    </row>
    <row r="7" spans="1:17" ht="26.25" customHeight="1" x14ac:dyDescent="0.3">
      <c r="A7" s="20" t="s">
        <v>254</v>
      </c>
      <c r="C7" s="23">
        <f>VLOOKUP(C3,'Liste salariés'!A3:J105,3,FALSE)</f>
        <v>38169</v>
      </c>
      <c r="D7" s="20" t="s">
        <v>255</v>
      </c>
      <c r="E7" s="49">
        <f ca="1">(B1-C7)/365</f>
        <v>21.706849315068492</v>
      </c>
      <c r="F7" s="48"/>
    </row>
    <row r="8" spans="1:17" x14ac:dyDescent="0.25">
      <c r="B8"/>
    </row>
    <row r="9" spans="1:17" x14ac:dyDescent="0.25">
      <c r="B9"/>
    </row>
    <row r="10" spans="1:17" ht="18.75" x14ac:dyDescent="0.3">
      <c r="A10" s="20" t="s">
        <v>257</v>
      </c>
      <c r="B10"/>
    </row>
    <row r="11" spans="1:17" ht="15.75" thickBot="1" x14ac:dyDescent="0.3"/>
    <row r="12" spans="1:17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17" ht="20.100000000000001" customHeight="1" x14ac:dyDescent="0.25">
      <c r="A13" s="32">
        <v>2002</v>
      </c>
      <c r="B13" s="60" t="s">
        <v>191</v>
      </c>
      <c r="C13" s="33"/>
      <c r="D13" s="44"/>
      <c r="E13" s="45"/>
      <c r="F13" s="34"/>
      <c r="G13" s="34">
        <v>2011</v>
      </c>
      <c r="H13" s="35">
        <v>42</v>
      </c>
      <c r="Q13" s="13"/>
    </row>
    <row r="14" spans="1:17" ht="20.100000000000001" customHeight="1" x14ac:dyDescent="0.25">
      <c r="A14" s="36">
        <v>1003</v>
      </c>
      <c r="B14" s="59" t="s">
        <v>205</v>
      </c>
      <c r="C14" s="37"/>
      <c r="D14" s="42"/>
      <c r="E14" s="46"/>
      <c r="F14" s="38"/>
      <c r="G14" s="38">
        <v>2012</v>
      </c>
      <c r="H14" s="39">
        <v>7</v>
      </c>
      <c r="Q14" s="13"/>
    </row>
    <row r="15" spans="1:17" ht="20.100000000000001" customHeight="1" x14ac:dyDescent="0.25">
      <c r="A15" s="36">
        <v>1010</v>
      </c>
      <c r="B15" s="59" t="s">
        <v>222</v>
      </c>
      <c r="C15" s="37"/>
      <c r="D15" s="42"/>
      <c r="E15" s="46"/>
      <c r="F15" s="38"/>
      <c r="G15" s="38">
        <v>2012</v>
      </c>
      <c r="H15" s="39">
        <v>2.5</v>
      </c>
      <c r="Q15" s="13"/>
    </row>
    <row r="16" spans="1:17" ht="20.100000000000001" customHeight="1" x14ac:dyDescent="0.25">
      <c r="A16" s="36">
        <v>1026</v>
      </c>
      <c r="B16" s="59" t="s">
        <v>179</v>
      </c>
      <c r="C16" s="37"/>
      <c r="D16" s="42"/>
      <c r="E16" s="46"/>
      <c r="F16" s="38"/>
      <c r="G16" s="38">
        <v>2012</v>
      </c>
      <c r="H16" s="39">
        <v>3.5</v>
      </c>
      <c r="Q16" s="13"/>
    </row>
    <row r="17" spans="1:17" ht="20.100000000000001" customHeight="1" x14ac:dyDescent="0.25">
      <c r="A17" s="36">
        <v>3012</v>
      </c>
      <c r="B17" s="59" t="s">
        <v>38</v>
      </c>
      <c r="C17" s="37"/>
      <c r="D17" s="42"/>
      <c r="E17" s="46"/>
      <c r="F17" s="38"/>
      <c r="G17" s="38">
        <v>2012</v>
      </c>
      <c r="H17" s="39">
        <v>151.66999999999999</v>
      </c>
      <c r="Q17" s="13"/>
    </row>
    <row r="18" spans="1:17" ht="20.100000000000001" customHeight="1" x14ac:dyDescent="0.25">
      <c r="A18" s="36">
        <v>1025</v>
      </c>
      <c r="B18" s="59" t="s">
        <v>154</v>
      </c>
      <c r="C18" s="37"/>
      <c r="D18" s="42"/>
      <c r="E18" s="46"/>
      <c r="F18" s="38"/>
      <c r="G18" s="38">
        <v>2013</v>
      </c>
      <c r="H18" s="39">
        <v>0.5</v>
      </c>
      <c r="Q18" s="13"/>
    </row>
    <row r="19" spans="1:17" ht="20.100000000000001" customHeight="1" x14ac:dyDescent="0.25">
      <c r="A19" s="36">
        <v>1026</v>
      </c>
      <c r="B19" s="59" t="s">
        <v>179</v>
      </c>
      <c r="C19" s="37"/>
      <c r="D19" s="42"/>
      <c r="E19" s="46"/>
      <c r="F19" s="38"/>
      <c r="G19" s="38">
        <v>2013</v>
      </c>
      <c r="H19" s="39">
        <v>1</v>
      </c>
      <c r="Q19" s="13"/>
    </row>
    <row r="20" spans="1:17" ht="20.100000000000001" customHeight="1" x14ac:dyDescent="0.25">
      <c r="A20" s="36">
        <v>3012</v>
      </c>
      <c r="B20" s="59" t="s">
        <v>38</v>
      </c>
      <c r="C20" s="37"/>
      <c r="D20" s="42"/>
      <c r="E20" s="46"/>
      <c r="F20" s="38"/>
      <c r="G20" s="38">
        <v>2014</v>
      </c>
      <c r="H20" s="39">
        <v>151.66999999999999</v>
      </c>
      <c r="Q20" s="13"/>
    </row>
    <row r="21" spans="1:17" ht="20.100000000000001" customHeight="1" x14ac:dyDescent="0.25">
      <c r="A21" s="36">
        <v>1010</v>
      </c>
      <c r="B21" s="59" t="s">
        <v>222</v>
      </c>
      <c r="C21" s="37"/>
      <c r="D21" s="42"/>
      <c r="E21" s="46"/>
      <c r="F21" s="38"/>
      <c r="G21" s="38">
        <v>2015</v>
      </c>
      <c r="H21" s="39">
        <v>3</v>
      </c>
      <c r="Q21" s="13"/>
    </row>
    <row r="22" spans="1:17" ht="20.100000000000001" customHeight="1" x14ac:dyDescent="0.25">
      <c r="A22" s="36">
        <v>2005</v>
      </c>
      <c r="B22" s="59" t="s">
        <v>153</v>
      </c>
      <c r="C22" s="37"/>
      <c r="D22" s="42"/>
      <c r="E22" s="46"/>
      <c r="F22" s="38"/>
      <c r="G22" s="38">
        <v>2015</v>
      </c>
      <c r="H22" s="39">
        <v>2</v>
      </c>
      <c r="Q22" s="13"/>
    </row>
    <row r="23" spans="1:17" ht="20.100000000000001" customHeight="1" x14ac:dyDescent="0.25">
      <c r="A23" s="36">
        <v>3012</v>
      </c>
      <c r="B23" s="59" t="s">
        <v>38</v>
      </c>
      <c r="C23" s="37"/>
      <c r="D23" s="42"/>
      <c r="E23" s="46"/>
      <c r="F23" s="38"/>
      <c r="G23" s="38">
        <v>2016</v>
      </c>
      <c r="H23" s="39">
        <v>151.66999999999999</v>
      </c>
      <c r="Q23" s="13"/>
    </row>
    <row r="24" spans="1:17" ht="20.100000000000001" customHeight="1" x14ac:dyDescent="0.25">
      <c r="A24" s="36">
        <v>1009</v>
      </c>
      <c r="B24" s="59" t="s">
        <v>221</v>
      </c>
      <c r="C24" s="37"/>
      <c r="D24" s="42"/>
      <c r="E24" s="46"/>
      <c r="F24" s="38"/>
      <c r="G24" s="38">
        <v>2018</v>
      </c>
      <c r="H24" s="39">
        <v>3</v>
      </c>
      <c r="Q24" s="13"/>
    </row>
    <row r="25" spans="1:17" ht="20.100000000000001" customHeight="1" x14ac:dyDescent="0.25">
      <c r="A25" s="36">
        <v>1010</v>
      </c>
      <c r="B25" s="59" t="s">
        <v>222</v>
      </c>
      <c r="C25" s="37"/>
      <c r="D25" s="42"/>
      <c r="E25" s="46"/>
      <c r="F25" s="38"/>
      <c r="G25" s="38">
        <v>2018</v>
      </c>
      <c r="H25" s="39">
        <v>3</v>
      </c>
      <c r="Q25" s="13"/>
    </row>
    <row r="26" spans="1:17" ht="20.100000000000001" customHeight="1" x14ac:dyDescent="0.25">
      <c r="A26" s="36">
        <v>1020</v>
      </c>
      <c r="B26" s="59" t="s">
        <v>202</v>
      </c>
      <c r="C26" s="37"/>
      <c r="D26" s="42"/>
      <c r="E26" s="46"/>
      <c r="F26" s="38"/>
      <c r="G26" s="38">
        <v>2018</v>
      </c>
      <c r="H26" s="39">
        <v>3.5</v>
      </c>
      <c r="Q26" s="13"/>
    </row>
    <row r="27" spans="1:17" ht="20.100000000000001" customHeight="1" x14ac:dyDescent="0.25">
      <c r="A27" s="36">
        <v>3012</v>
      </c>
      <c r="B27" s="59" t="s">
        <v>38</v>
      </c>
      <c r="C27" s="37"/>
      <c r="D27" s="42"/>
      <c r="E27" s="46"/>
      <c r="F27" s="38"/>
      <c r="G27" s="38">
        <v>2018</v>
      </c>
      <c r="H27" s="39">
        <v>151.66999999999999</v>
      </c>
      <c r="Q27" s="13"/>
    </row>
    <row r="28" spans="1:17" ht="20.100000000000001" customHeight="1" x14ac:dyDescent="0.25">
      <c r="A28" s="36">
        <v>3019</v>
      </c>
      <c r="B28" s="59" t="s">
        <v>216</v>
      </c>
      <c r="C28" s="37"/>
      <c r="D28" s="42"/>
      <c r="E28" s="46"/>
      <c r="F28" s="38"/>
      <c r="G28" s="38">
        <v>2019</v>
      </c>
      <c r="H28" s="39">
        <v>151.66999999999999</v>
      </c>
      <c r="Q28" s="13"/>
    </row>
    <row r="29" spans="1:17" ht="20.100000000000001" customHeight="1" x14ac:dyDescent="0.25">
      <c r="A29" s="36">
        <v>1004</v>
      </c>
      <c r="B29" s="59" t="s">
        <v>206</v>
      </c>
      <c r="C29" s="37"/>
      <c r="D29" s="42"/>
      <c r="E29" s="46"/>
      <c r="F29" s="38"/>
      <c r="G29" s="38">
        <v>2019</v>
      </c>
      <c r="H29" s="39">
        <v>7</v>
      </c>
      <c r="Q29" s="13"/>
    </row>
    <row r="30" spans="1:17" ht="20.100000000000001" customHeight="1" x14ac:dyDescent="0.25">
      <c r="A30" s="36">
        <v>1002</v>
      </c>
      <c r="B30" s="59" t="s">
        <v>204</v>
      </c>
      <c r="C30" s="37"/>
      <c r="D30" s="42"/>
      <c r="E30" s="46"/>
      <c r="F30" s="38"/>
      <c r="G30" s="38">
        <v>2023</v>
      </c>
      <c r="H30" s="39">
        <v>14</v>
      </c>
      <c r="Q30" s="13"/>
    </row>
    <row r="31" spans="1:17" ht="20.100000000000001" customHeight="1" x14ac:dyDescent="0.25">
      <c r="A31" s="36">
        <v>1024</v>
      </c>
      <c r="B31" s="59" t="s">
        <v>203</v>
      </c>
      <c r="C31" s="37"/>
      <c r="D31" s="42"/>
      <c r="E31" s="46"/>
      <c r="F31" s="38"/>
      <c r="G31" s="38">
        <v>2023</v>
      </c>
      <c r="H31" s="39">
        <v>0.5</v>
      </c>
      <c r="Q31" s="13"/>
    </row>
    <row r="32" spans="1:17" ht="20.100000000000001" customHeight="1" x14ac:dyDescent="0.25">
      <c r="A32" s="36">
        <v>1030</v>
      </c>
      <c r="B32" s="59" t="s">
        <v>146</v>
      </c>
      <c r="C32" s="37"/>
      <c r="D32" s="42"/>
      <c r="E32" s="46"/>
      <c r="F32" s="38"/>
      <c r="G32" s="38">
        <v>2023</v>
      </c>
      <c r="H32" s="39">
        <v>0.5</v>
      </c>
      <c r="Q32" s="13"/>
    </row>
    <row r="33" spans="1:17" ht="20.100000000000001" customHeight="1" x14ac:dyDescent="0.25">
      <c r="A33" s="36"/>
      <c r="B33" s="37"/>
      <c r="C33" s="37"/>
      <c r="D33" s="42"/>
      <c r="E33" s="46"/>
      <c r="F33" s="38"/>
      <c r="G33" s="38"/>
      <c r="H33" s="39"/>
      <c r="Q33" s="13"/>
    </row>
    <row r="34" spans="1:17" ht="20.100000000000001" customHeight="1" x14ac:dyDescent="0.25">
      <c r="A34" s="36"/>
      <c r="B34" s="37"/>
      <c r="C34" s="37"/>
      <c r="D34" s="42"/>
      <c r="E34" s="46"/>
      <c r="F34" s="38"/>
      <c r="G34" s="38"/>
      <c r="H34" s="39"/>
      <c r="Q34" s="13"/>
    </row>
    <row r="35" spans="1:17" ht="20.100000000000001" customHeight="1" x14ac:dyDescent="0.25">
      <c r="A35" s="36"/>
      <c r="B35" s="37"/>
      <c r="C35" s="37"/>
      <c r="D35" s="42"/>
      <c r="E35" s="46"/>
      <c r="F35" s="38"/>
      <c r="G35" s="38"/>
      <c r="H35" s="39"/>
      <c r="Q35" s="13"/>
    </row>
    <row r="36" spans="1:17" ht="20.100000000000001" customHeight="1" x14ac:dyDescent="0.25">
      <c r="A36" s="36"/>
      <c r="B36" s="37"/>
      <c r="C36" s="37"/>
      <c r="D36" s="42"/>
      <c r="E36" s="46"/>
      <c r="F36" s="38"/>
      <c r="G36" s="38"/>
      <c r="H36" s="39"/>
      <c r="Q36" s="13"/>
    </row>
    <row r="37" spans="1:17" ht="20.100000000000001" customHeight="1" x14ac:dyDescent="0.25">
      <c r="A37" s="36"/>
      <c r="B37" s="37"/>
      <c r="C37" s="37"/>
      <c r="D37" s="42"/>
      <c r="E37" s="46"/>
      <c r="F37" s="38"/>
      <c r="G37" s="38"/>
      <c r="H37" s="39"/>
      <c r="Q37" s="13"/>
    </row>
    <row r="38" spans="1:17" ht="20.100000000000001" customHeight="1" x14ac:dyDescent="0.25">
      <c r="A38" s="36"/>
      <c r="B38" s="37"/>
      <c r="C38" s="37"/>
      <c r="D38" s="42"/>
      <c r="E38" s="46"/>
      <c r="F38" s="38"/>
      <c r="G38" s="38"/>
      <c r="H38" s="39"/>
      <c r="Q38" s="13"/>
    </row>
    <row r="39" spans="1:17" ht="20.100000000000001" customHeight="1" x14ac:dyDescent="0.25">
      <c r="A39" s="36"/>
      <c r="B39" s="37"/>
      <c r="C39" s="37"/>
      <c r="D39" s="42"/>
      <c r="E39" s="46"/>
      <c r="F39" s="38"/>
      <c r="G39" s="38"/>
      <c r="H39" s="39"/>
      <c r="Q39" s="13"/>
    </row>
    <row r="40" spans="1:17" ht="20.100000000000001" customHeight="1" x14ac:dyDescent="0.25">
      <c r="A40" s="36"/>
      <c r="B40" s="37"/>
      <c r="C40" s="37"/>
      <c r="D40" s="42"/>
      <c r="E40" s="46"/>
      <c r="F40" s="38"/>
      <c r="G40" s="38"/>
      <c r="H40" s="39"/>
      <c r="Q40" s="13"/>
    </row>
    <row r="41" spans="1:17" ht="20.100000000000001" customHeight="1" x14ac:dyDescent="0.25">
      <c r="A41" s="36"/>
      <c r="B41" s="37"/>
      <c r="C41" s="37"/>
      <c r="D41" s="42"/>
      <c r="E41" s="46"/>
      <c r="F41" s="38"/>
      <c r="G41" s="38"/>
      <c r="H41" s="39"/>
      <c r="Q41" s="13"/>
    </row>
    <row r="42" spans="1:17" ht="20.100000000000001" customHeight="1" x14ac:dyDescent="0.25">
      <c r="A42" s="36"/>
      <c r="B42" s="37"/>
      <c r="C42" s="37"/>
      <c r="D42" s="42"/>
      <c r="E42" s="46"/>
      <c r="F42" s="38"/>
      <c r="G42" s="38"/>
      <c r="H42" s="39"/>
      <c r="Q42" s="13"/>
    </row>
    <row r="43" spans="1:17" ht="20.100000000000001" customHeight="1" x14ac:dyDescent="0.25">
      <c r="A43" s="36"/>
      <c r="B43" s="37"/>
      <c r="C43" s="37"/>
      <c r="D43" s="42"/>
      <c r="E43" s="46"/>
      <c r="F43" s="38"/>
      <c r="G43" s="38"/>
      <c r="H43" s="39"/>
      <c r="Q43" s="13"/>
    </row>
    <row r="44" spans="1:17" ht="20.100000000000001" customHeight="1" x14ac:dyDescent="0.25">
      <c r="A44" s="36"/>
      <c r="B44" s="37"/>
      <c r="C44" s="37"/>
      <c r="D44" s="42"/>
      <c r="E44" s="46"/>
      <c r="F44" s="38"/>
      <c r="G44" s="38"/>
      <c r="H44" s="39"/>
      <c r="Q44" s="13"/>
    </row>
    <row r="45" spans="1:17" ht="20.100000000000001" customHeight="1" x14ac:dyDescent="0.25">
      <c r="A45" s="36"/>
      <c r="B45" s="37"/>
      <c r="C45" s="37"/>
      <c r="D45" s="42"/>
      <c r="E45" s="46"/>
      <c r="F45" s="38"/>
      <c r="G45" s="38"/>
      <c r="H45" s="39"/>
      <c r="Q45" s="13"/>
    </row>
    <row r="46" spans="1:17" ht="20.100000000000001" customHeight="1" x14ac:dyDescent="0.25">
      <c r="A46" s="36"/>
      <c r="B46" s="37"/>
      <c r="C46" s="37"/>
      <c r="D46" s="42"/>
      <c r="E46" s="46"/>
      <c r="F46" s="38"/>
      <c r="G46" s="38"/>
      <c r="H46" s="39"/>
      <c r="Q46" s="13"/>
    </row>
    <row r="47" spans="1:17" ht="20.100000000000001" customHeight="1" x14ac:dyDescent="0.25">
      <c r="A47" s="36"/>
      <c r="B47" s="37"/>
      <c r="C47" s="37"/>
      <c r="D47" s="42"/>
      <c r="E47" s="46"/>
      <c r="F47" s="38"/>
      <c r="G47" s="38"/>
      <c r="H47" s="39"/>
      <c r="Q47" s="13"/>
    </row>
    <row r="48" spans="1:17" ht="20.100000000000001" customHeight="1" x14ac:dyDescent="0.25">
      <c r="A48" s="36"/>
      <c r="B48" s="37"/>
      <c r="C48" s="37"/>
      <c r="D48" s="42"/>
      <c r="E48" s="46"/>
      <c r="F48" s="38"/>
      <c r="G48" s="38"/>
      <c r="H48" s="39"/>
      <c r="Q48" s="13"/>
    </row>
    <row r="49" spans="1:17" ht="20.100000000000001" customHeight="1" x14ac:dyDescent="0.25">
      <c r="A49" s="36"/>
      <c r="B49" s="37"/>
      <c r="C49" s="37"/>
      <c r="D49" s="42"/>
      <c r="E49" s="46"/>
      <c r="F49" s="38"/>
      <c r="G49" s="38"/>
      <c r="H49" s="39"/>
      <c r="Q49" s="13"/>
    </row>
    <row r="50" spans="1:17" ht="20.100000000000001" customHeight="1" x14ac:dyDescent="0.25">
      <c r="A50" s="36"/>
      <c r="B50" s="37"/>
      <c r="C50" s="37"/>
      <c r="D50" s="42"/>
      <c r="E50" s="46"/>
      <c r="F50" s="38"/>
      <c r="G50" s="38"/>
      <c r="H50" s="39"/>
      <c r="Q50" s="13"/>
    </row>
    <row r="51" spans="1:17" ht="20.100000000000001" customHeight="1" x14ac:dyDescent="0.25">
      <c r="A51" s="36"/>
      <c r="B51" s="37"/>
      <c r="C51" s="37"/>
      <c r="D51" s="42"/>
      <c r="E51" s="46"/>
      <c r="F51" s="38"/>
      <c r="G51" s="38"/>
      <c r="H51" s="39"/>
      <c r="Q51" s="13"/>
    </row>
    <row r="52" spans="1:17" ht="20.100000000000001" customHeight="1" x14ac:dyDescent="0.25">
      <c r="A52" s="36"/>
      <c r="B52" s="37"/>
      <c r="C52" s="37"/>
      <c r="D52" s="42"/>
      <c r="E52" s="46"/>
      <c r="F52" s="38"/>
      <c r="G52" s="38"/>
      <c r="H52" s="39"/>
      <c r="Q52" s="13"/>
    </row>
    <row r="53" spans="1:17" ht="15.75" thickBot="1" x14ac:dyDescent="0.3">
      <c r="A53" s="30"/>
      <c r="B53" s="27"/>
      <c r="C53" s="28"/>
      <c r="D53" s="31"/>
      <c r="E53" s="47"/>
      <c r="F53" s="57"/>
      <c r="G53" s="57"/>
      <c r="H53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3"/>
  <sheetViews>
    <sheetView workbookViewId="0">
      <selection activeCell="B59" sqref="B59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17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17" ht="18.75" x14ac:dyDescent="0.3">
      <c r="A2" s="19"/>
      <c r="B2" s="24"/>
      <c r="D2" s="19"/>
      <c r="E2" s="19"/>
      <c r="F2" s="55"/>
    </row>
    <row r="3" spans="1:17" ht="18.75" x14ac:dyDescent="0.3">
      <c r="A3" s="20" t="s">
        <v>251</v>
      </c>
      <c r="C3" s="25">
        <v>378</v>
      </c>
      <c r="D3" s="19"/>
      <c r="E3" s="19"/>
      <c r="F3" s="55"/>
    </row>
    <row r="4" spans="1:17" ht="18.75" x14ac:dyDescent="0.3">
      <c r="A4" s="19"/>
      <c r="B4" s="24"/>
      <c r="D4" s="19"/>
      <c r="E4" s="19"/>
      <c r="F4" s="55"/>
    </row>
    <row r="5" spans="1:17" ht="18.75" x14ac:dyDescent="0.3">
      <c r="A5" s="20" t="s">
        <v>256</v>
      </c>
      <c r="C5" s="26" t="str">
        <f>VLOOKUP(C3,'Liste salariés'!A3:G104,2,FALSE)</f>
        <v xml:space="preserve">MOUSTROUS Hervé          </v>
      </c>
      <c r="D5" s="19"/>
      <c r="E5" s="19"/>
      <c r="F5" s="55"/>
    </row>
    <row r="6" spans="1:17" ht="39.75" customHeight="1" x14ac:dyDescent="0.3">
      <c r="A6" s="20" t="s">
        <v>252</v>
      </c>
      <c r="C6" s="23">
        <f>VLOOKUP(C3,'Liste salariés'!A3:J103,6,FALSE)</f>
        <v>26215</v>
      </c>
      <c r="D6" s="20" t="s">
        <v>253</v>
      </c>
      <c r="E6" s="49">
        <f ca="1">(B1-C6)/365</f>
        <v>54.457534246575342</v>
      </c>
      <c r="F6" s="48"/>
    </row>
    <row r="7" spans="1:17" ht="26.25" customHeight="1" x14ac:dyDescent="0.3">
      <c r="A7" s="20" t="s">
        <v>254</v>
      </c>
      <c r="C7" s="23">
        <f>VLOOKUP(C3,'Liste salariés'!A3:J105,3,FALSE)</f>
        <v>43529</v>
      </c>
      <c r="D7" s="20" t="s">
        <v>255</v>
      </c>
      <c r="E7" s="49">
        <f ca="1">(B1-C7)/365</f>
        <v>7.021917808219178</v>
      </c>
      <c r="F7" s="48"/>
    </row>
    <row r="8" spans="1:17" x14ac:dyDescent="0.25">
      <c r="B8"/>
    </row>
    <row r="9" spans="1:17" x14ac:dyDescent="0.25">
      <c r="B9"/>
    </row>
    <row r="10" spans="1:17" ht="18.75" x14ac:dyDescent="0.3">
      <c r="A10" s="20" t="s">
        <v>257</v>
      </c>
      <c r="B10"/>
    </row>
    <row r="11" spans="1:17" ht="15.75" thickBot="1" x14ac:dyDescent="0.3"/>
    <row r="12" spans="1:17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17" ht="20.100000000000001" customHeight="1" x14ac:dyDescent="0.25">
      <c r="A13" s="32">
        <v>1009</v>
      </c>
      <c r="B13" s="60" t="s">
        <v>221</v>
      </c>
      <c r="C13" s="33"/>
      <c r="D13" s="44"/>
      <c r="E13" s="45"/>
      <c r="F13" s="34"/>
      <c r="G13" s="34">
        <v>2019</v>
      </c>
      <c r="H13" s="35">
        <v>2</v>
      </c>
      <c r="Q13" s="13"/>
    </row>
    <row r="14" spans="1:17" ht="20.100000000000001" customHeight="1" x14ac:dyDescent="0.25">
      <c r="A14" s="36">
        <v>1010</v>
      </c>
      <c r="B14" s="59" t="s">
        <v>222</v>
      </c>
      <c r="C14" s="37"/>
      <c r="D14" s="42"/>
      <c r="E14" s="46"/>
      <c r="F14" s="38"/>
      <c r="G14" s="38">
        <v>2019</v>
      </c>
      <c r="H14" s="39">
        <v>2</v>
      </c>
      <c r="Q14" s="13"/>
    </row>
    <row r="15" spans="1:17" ht="20.100000000000001" customHeight="1" x14ac:dyDescent="0.25">
      <c r="A15" s="36">
        <v>1022</v>
      </c>
      <c r="B15" s="59" t="s">
        <v>220</v>
      </c>
      <c r="C15" s="37"/>
      <c r="D15" s="42"/>
      <c r="E15" s="46"/>
      <c r="F15" s="38"/>
      <c r="G15" s="38">
        <v>2019</v>
      </c>
      <c r="H15" s="39">
        <v>0.16</v>
      </c>
      <c r="Q15" s="13"/>
    </row>
    <row r="16" spans="1:17" ht="20.100000000000001" customHeight="1" x14ac:dyDescent="0.25">
      <c r="A16" s="36">
        <v>3040</v>
      </c>
      <c r="B16" s="59" t="s">
        <v>27</v>
      </c>
      <c r="C16" s="37"/>
      <c r="D16" s="42"/>
      <c r="E16" s="46"/>
      <c r="F16" s="38"/>
      <c r="G16" s="38">
        <v>2019</v>
      </c>
      <c r="H16" s="39">
        <v>151.66999999999999</v>
      </c>
      <c r="Q16" s="13"/>
    </row>
    <row r="17" spans="1:17" ht="20.100000000000001" customHeight="1" x14ac:dyDescent="0.25">
      <c r="A17" s="36">
        <v>3006</v>
      </c>
      <c r="B17" s="59" t="s">
        <v>25</v>
      </c>
      <c r="C17" s="37"/>
      <c r="D17" s="42"/>
      <c r="E17" s="46"/>
      <c r="F17" s="38"/>
      <c r="G17" s="38">
        <v>2020</v>
      </c>
      <c r="H17" s="39">
        <v>151.66999999999999</v>
      </c>
      <c r="Q17" s="13"/>
    </row>
    <row r="18" spans="1:17" ht="20.100000000000001" customHeight="1" x14ac:dyDescent="0.25">
      <c r="A18" s="36">
        <v>1009</v>
      </c>
      <c r="B18" s="59" t="s">
        <v>221</v>
      </c>
      <c r="C18" s="37"/>
      <c r="D18" s="42"/>
      <c r="E18" s="46"/>
      <c r="F18" s="38"/>
      <c r="G18" s="38">
        <v>2023</v>
      </c>
      <c r="H18" s="39">
        <v>2</v>
      </c>
      <c r="Q18" s="13"/>
    </row>
    <row r="19" spans="1:17" ht="20.100000000000001" customHeight="1" x14ac:dyDescent="0.25">
      <c r="A19" s="36">
        <v>1010</v>
      </c>
      <c r="B19" s="59" t="s">
        <v>222</v>
      </c>
      <c r="C19" s="37"/>
      <c r="D19" s="42"/>
      <c r="E19" s="46"/>
      <c r="F19" s="38"/>
      <c r="G19" s="38">
        <v>2023</v>
      </c>
      <c r="H19" s="39">
        <v>2</v>
      </c>
      <c r="Q19" s="13"/>
    </row>
    <row r="20" spans="1:17" ht="20.100000000000001" customHeight="1" x14ac:dyDescent="0.25">
      <c r="A20" s="36">
        <v>1009</v>
      </c>
      <c r="B20" s="59" t="s">
        <v>221</v>
      </c>
      <c r="C20" s="37"/>
      <c r="D20" s="42"/>
      <c r="E20" s="46"/>
      <c r="F20" s="38"/>
      <c r="G20" s="38">
        <v>2024</v>
      </c>
      <c r="H20" s="39">
        <v>2</v>
      </c>
      <c r="Q20" s="13"/>
    </row>
    <row r="21" spans="1:17" ht="20.100000000000001" customHeight="1" x14ac:dyDescent="0.25">
      <c r="A21" s="36">
        <v>1010</v>
      </c>
      <c r="B21" s="59" t="s">
        <v>222</v>
      </c>
      <c r="C21" s="37"/>
      <c r="D21" s="42"/>
      <c r="E21" s="46"/>
      <c r="F21" s="38"/>
      <c r="G21" s="38">
        <v>2024</v>
      </c>
      <c r="H21" s="39">
        <v>2</v>
      </c>
      <c r="Q21" s="13"/>
    </row>
    <row r="22" spans="1:17" ht="20.100000000000001" customHeight="1" x14ac:dyDescent="0.25">
      <c r="A22" s="36"/>
      <c r="B22" s="59"/>
      <c r="C22" s="37"/>
      <c r="D22" s="42"/>
      <c r="E22" s="46"/>
      <c r="F22" s="38"/>
      <c r="G22" s="38"/>
      <c r="H22" s="39"/>
      <c r="Q22" s="13"/>
    </row>
    <row r="23" spans="1:17" ht="20.100000000000001" customHeight="1" x14ac:dyDescent="0.25">
      <c r="A23" s="36"/>
      <c r="B23" s="59"/>
      <c r="C23" s="37"/>
      <c r="D23" s="42"/>
      <c r="E23" s="46"/>
      <c r="F23" s="38"/>
      <c r="G23" s="38"/>
      <c r="H23" s="39"/>
      <c r="Q23" s="13"/>
    </row>
    <row r="24" spans="1:17" ht="20.100000000000001" customHeight="1" x14ac:dyDescent="0.25">
      <c r="A24" s="36"/>
      <c r="B24" s="59"/>
      <c r="C24" s="37"/>
      <c r="D24" s="42"/>
      <c r="E24" s="46"/>
      <c r="F24" s="38"/>
      <c r="G24" s="38"/>
      <c r="H24" s="39"/>
      <c r="Q24" s="13"/>
    </row>
    <row r="25" spans="1:17" ht="20.100000000000001" customHeight="1" x14ac:dyDescent="0.25">
      <c r="A25" s="36"/>
      <c r="B25" s="59"/>
      <c r="C25" s="37"/>
      <c r="D25" s="42"/>
      <c r="E25" s="46"/>
      <c r="F25" s="38"/>
      <c r="G25" s="38"/>
      <c r="H25" s="39"/>
      <c r="Q25" s="13"/>
    </row>
    <row r="26" spans="1:17" ht="20.100000000000001" customHeight="1" x14ac:dyDescent="0.25">
      <c r="A26" s="36"/>
      <c r="B26" s="59"/>
      <c r="C26" s="37"/>
      <c r="D26" s="42"/>
      <c r="E26" s="46"/>
      <c r="F26" s="38"/>
      <c r="G26" s="38"/>
      <c r="H26" s="39"/>
      <c r="Q26" s="13"/>
    </row>
    <row r="27" spans="1:17" ht="20.100000000000001" customHeight="1" x14ac:dyDescent="0.25">
      <c r="A27" s="36"/>
      <c r="B27" s="59"/>
      <c r="C27" s="37"/>
      <c r="D27" s="42"/>
      <c r="E27" s="46"/>
      <c r="F27" s="38"/>
      <c r="G27" s="38"/>
      <c r="H27" s="39"/>
      <c r="Q27" s="13"/>
    </row>
    <row r="28" spans="1:17" ht="20.100000000000001" customHeight="1" x14ac:dyDescent="0.25">
      <c r="A28" s="36"/>
      <c r="B28" s="59"/>
      <c r="C28" s="37"/>
      <c r="D28" s="42"/>
      <c r="E28" s="46"/>
      <c r="F28" s="38"/>
      <c r="G28" s="38"/>
      <c r="H28" s="39"/>
      <c r="Q28" s="13"/>
    </row>
    <row r="29" spans="1:17" ht="20.100000000000001" customHeight="1" x14ac:dyDescent="0.25">
      <c r="A29" s="36"/>
      <c r="B29" s="59"/>
      <c r="C29" s="37"/>
      <c r="D29" s="42"/>
      <c r="E29" s="46"/>
      <c r="F29" s="38"/>
      <c r="G29" s="38"/>
      <c r="H29" s="39"/>
      <c r="Q29" s="13"/>
    </row>
    <row r="30" spans="1:17" ht="20.100000000000001" customHeight="1" x14ac:dyDescent="0.25">
      <c r="A30" s="36"/>
      <c r="B30" s="59"/>
      <c r="C30" s="37"/>
      <c r="D30" s="42"/>
      <c r="E30" s="46"/>
      <c r="F30" s="38"/>
      <c r="G30" s="38"/>
      <c r="H30" s="39"/>
      <c r="Q30" s="13"/>
    </row>
    <row r="31" spans="1:17" ht="20.100000000000001" customHeight="1" x14ac:dyDescent="0.25">
      <c r="A31" s="36"/>
      <c r="B31" s="59"/>
      <c r="C31" s="37"/>
      <c r="D31" s="42"/>
      <c r="E31" s="46"/>
      <c r="F31" s="38"/>
      <c r="G31" s="38"/>
      <c r="H31" s="39"/>
      <c r="Q31" s="13"/>
    </row>
    <row r="32" spans="1:17" ht="20.100000000000001" customHeight="1" x14ac:dyDescent="0.25">
      <c r="A32" s="36"/>
      <c r="B32" s="59"/>
      <c r="C32" s="37"/>
      <c r="D32" s="42"/>
      <c r="E32" s="46"/>
      <c r="F32" s="38"/>
      <c r="G32" s="38"/>
      <c r="H32" s="39"/>
      <c r="Q32" s="13"/>
    </row>
    <row r="33" spans="1:17" ht="20.100000000000001" customHeight="1" x14ac:dyDescent="0.25">
      <c r="A33" s="36"/>
      <c r="B33" s="37"/>
      <c r="C33" s="37"/>
      <c r="D33" s="42"/>
      <c r="E33" s="46"/>
      <c r="F33" s="38"/>
      <c r="G33" s="38"/>
      <c r="H33" s="39"/>
      <c r="Q33" s="13"/>
    </row>
    <row r="34" spans="1:17" ht="20.100000000000001" customHeight="1" x14ac:dyDescent="0.25">
      <c r="A34" s="36"/>
      <c r="B34" s="37"/>
      <c r="C34" s="37"/>
      <c r="D34" s="42"/>
      <c r="E34" s="46"/>
      <c r="F34" s="38"/>
      <c r="G34" s="38"/>
      <c r="H34" s="39"/>
      <c r="Q34" s="13"/>
    </row>
    <row r="35" spans="1:17" ht="20.100000000000001" customHeight="1" x14ac:dyDescent="0.25">
      <c r="A35" s="36"/>
      <c r="B35" s="37"/>
      <c r="C35" s="37"/>
      <c r="D35" s="42"/>
      <c r="E35" s="46"/>
      <c r="F35" s="38"/>
      <c r="G35" s="38"/>
      <c r="H35" s="39"/>
      <c r="Q35" s="13"/>
    </row>
    <row r="36" spans="1:17" ht="20.100000000000001" customHeight="1" x14ac:dyDescent="0.25">
      <c r="A36" s="36"/>
      <c r="B36" s="37"/>
      <c r="C36" s="37"/>
      <c r="D36" s="42"/>
      <c r="E36" s="46"/>
      <c r="F36" s="38"/>
      <c r="G36" s="38"/>
      <c r="H36" s="39"/>
      <c r="Q36" s="13"/>
    </row>
    <row r="37" spans="1:17" ht="20.100000000000001" customHeight="1" x14ac:dyDescent="0.25">
      <c r="A37" s="36"/>
      <c r="B37" s="37"/>
      <c r="C37" s="37"/>
      <c r="D37" s="42"/>
      <c r="E37" s="46"/>
      <c r="F37" s="38"/>
      <c r="G37" s="38"/>
      <c r="H37" s="39"/>
      <c r="Q37" s="13"/>
    </row>
    <row r="38" spans="1:17" ht="20.100000000000001" customHeight="1" x14ac:dyDescent="0.25">
      <c r="A38" s="36"/>
      <c r="B38" s="37"/>
      <c r="C38" s="37"/>
      <c r="D38" s="42"/>
      <c r="E38" s="46"/>
      <c r="F38" s="38"/>
      <c r="G38" s="38"/>
      <c r="H38" s="39"/>
      <c r="Q38" s="13"/>
    </row>
    <row r="39" spans="1:17" ht="20.100000000000001" customHeight="1" x14ac:dyDescent="0.25">
      <c r="A39" s="36"/>
      <c r="B39" s="37"/>
      <c r="C39" s="37"/>
      <c r="D39" s="42"/>
      <c r="E39" s="46"/>
      <c r="F39" s="38"/>
      <c r="G39" s="38"/>
      <c r="H39" s="39"/>
      <c r="Q39" s="13"/>
    </row>
    <row r="40" spans="1:17" ht="20.100000000000001" customHeight="1" x14ac:dyDescent="0.25">
      <c r="A40" s="36"/>
      <c r="B40" s="37"/>
      <c r="C40" s="37"/>
      <c r="D40" s="42"/>
      <c r="E40" s="46"/>
      <c r="F40" s="38"/>
      <c r="G40" s="38"/>
      <c r="H40" s="39"/>
      <c r="Q40" s="13"/>
    </row>
    <row r="41" spans="1:17" ht="20.100000000000001" customHeight="1" x14ac:dyDescent="0.25">
      <c r="A41" s="36"/>
      <c r="B41" s="37"/>
      <c r="C41" s="37"/>
      <c r="D41" s="42"/>
      <c r="E41" s="46"/>
      <c r="F41" s="38"/>
      <c r="G41" s="38"/>
      <c r="H41" s="39"/>
      <c r="Q41" s="13"/>
    </row>
    <row r="42" spans="1:17" ht="20.100000000000001" customHeight="1" x14ac:dyDescent="0.25">
      <c r="A42" s="36"/>
      <c r="B42" s="37"/>
      <c r="C42" s="37"/>
      <c r="D42" s="42"/>
      <c r="E42" s="46"/>
      <c r="F42" s="38"/>
      <c r="G42" s="38"/>
      <c r="H42" s="39"/>
      <c r="Q42" s="13"/>
    </row>
    <row r="43" spans="1:17" ht="20.100000000000001" customHeight="1" x14ac:dyDescent="0.25">
      <c r="A43" s="36"/>
      <c r="B43" s="37"/>
      <c r="C43" s="37"/>
      <c r="D43" s="42"/>
      <c r="E43" s="46"/>
      <c r="F43" s="38"/>
      <c r="G43" s="38"/>
      <c r="H43" s="39"/>
      <c r="Q43" s="13"/>
    </row>
    <row r="44" spans="1:17" ht="20.100000000000001" customHeight="1" x14ac:dyDescent="0.25">
      <c r="A44" s="36"/>
      <c r="B44" s="37"/>
      <c r="C44" s="37"/>
      <c r="D44" s="42"/>
      <c r="E44" s="46"/>
      <c r="F44" s="38"/>
      <c r="G44" s="38"/>
      <c r="H44" s="39"/>
      <c r="Q44" s="13"/>
    </row>
    <row r="45" spans="1:17" ht="20.100000000000001" customHeight="1" x14ac:dyDescent="0.25">
      <c r="A45" s="36"/>
      <c r="B45" s="37"/>
      <c r="C45" s="37"/>
      <c r="D45" s="42"/>
      <c r="E45" s="46"/>
      <c r="F45" s="38"/>
      <c r="G45" s="38"/>
      <c r="H45" s="39"/>
      <c r="Q45" s="13"/>
    </row>
    <row r="46" spans="1:17" ht="20.100000000000001" customHeight="1" x14ac:dyDescent="0.25">
      <c r="A46" s="36"/>
      <c r="B46" s="37"/>
      <c r="C46" s="37"/>
      <c r="D46" s="42"/>
      <c r="E46" s="46"/>
      <c r="F46" s="38"/>
      <c r="G46" s="38"/>
      <c r="H46" s="39"/>
      <c r="Q46" s="13"/>
    </row>
    <row r="47" spans="1:17" ht="20.100000000000001" customHeight="1" x14ac:dyDescent="0.25">
      <c r="A47" s="36"/>
      <c r="B47" s="37"/>
      <c r="C47" s="37"/>
      <c r="D47" s="42"/>
      <c r="E47" s="46"/>
      <c r="F47" s="38"/>
      <c r="G47" s="38"/>
      <c r="H47" s="39"/>
      <c r="Q47" s="13"/>
    </row>
    <row r="48" spans="1:17" ht="20.100000000000001" customHeight="1" x14ac:dyDescent="0.25">
      <c r="A48" s="36"/>
      <c r="B48" s="37"/>
      <c r="C48" s="37"/>
      <c r="D48" s="42"/>
      <c r="E48" s="46"/>
      <c r="F48" s="38"/>
      <c r="G48" s="38"/>
      <c r="H48" s="39"/>
      <c r="Q48" s="13"/>
    </row>
    <row r="49" spans="1:17" ht="20.100000000000001" customHeight="1" x14ac:dyDescent="0.25">
      <c r="A49" s="36"/>
      <c r="B49" s="37"/>
      <c r="C49" s="37"/>
      <c r="D49" s="42"/>
      <c r="E49" s="46"/>
      <c r="F49" s="38"/>
      <c r="G49" s="38"/>
      <c r="H49" s="39"/>
      <c r="Q49" s="13"/>
    </row>
    <row r="50" spans="1:17" ht="20.100000000000001" customHeight="1" x14ac:dyDescent="0.25">
      <c r="A50" s="36"/>
      <c r="B50" s="37"/>
      <c r="C50" s="37"/>
      <c r="D50" s="42"/>
      <c r="E50" s="46"/>
      <c r="F50" s="38"/>
      <c r="G50" s="38"/>
      <c r="H50" s="39"/>
      <c r="Q50" s="13"/>
    </row>
    <row r="51" spans="1:17" ht="20.100000000000001" customHeight="1" x14ac:dyDescent="0.25">
      <c r="A51" s="36"/>
      <c r="B51" s="37"/>
      <c r="C51" s="37"/>
      <c r="D51" s="42"/>
      <c r="E51" s="46"/>
      <c r="F51" s="38"/>
      <c r="G51" s="38"/>
      <c r="H51" s="39"/>
      <c r="Q51" s="13"/>
    </row>
    <row r="52" spans="1:17" ht="20.100000000000001" customHeight="1" x14ac:dyDescent="0.25">
      <c r="A52" s="36"/>
      <c r="B52" s="37"/>
      <c r="C52" s="37"/>
      <c r="D52" s="42"/>
      <c r="E52" s="46"/>
      <c r="F52" s="38"/>
      <c r="G52" s="38"/>
      <c r="H52" s="39"/>
      <c r="Q52" s="13"/>
    </row>
    <row r="53" spans="1:17" ht="15.75" thickBot="1" x14ac:dyDescent="0.3">
      <c r="A53" s="30"/>
      <c r="B53" s="27"/>
      <c r="C53" s="28"/>
      <c r="D53" s="31"/>
      <c r="E53" s="47"/>
      <c r="F53" s="57"/>
      <c r="G53" s="57"/>
      <c r="H53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7"/>
  <sheetViews>
    <sheetView workbookViewId="0">
      <selection activeCell="C10" sqref="C10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17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17" ht="18.75" x14ac:dyDescent="0.3">
      <c r="A2" s="19"/>
      <c r="B2" s="24"/>
      <c r="D2" s="19"/>
      <c r="E2" s="19"/>
      <c r="F2" s="55"/>
    </row>
    <row r="3" spans="1:17" ht="18.75" x14ac:dyDescent="0.3">
      <c r="A3" s="20" t="s">
        <v>251</v>
      </c>
      <c r="C3" s="25">
        <v>326</v>
      </c>
      <c r="D3" s="19"/>
      <c r="E3" s="19"/>
      <c r="F3" s="55"/>
    </row>
    <row r="4" spans="1:17" ht="18.75" x14ac:dyDescent="0.3">
      <c r="A4" s="19"/>
      <c r="B4" s="24"/>
      <c r="D4" s="19"/>
      <c r="E4" s="19"/>
      <c r="F4" s="55"/>
    </row>
    <row r="5" spans="1:17" ht="18.75" x14ac:dyDescent="0.3">
      <c r="A5" s="20" t="s">
        <v>256</v>
      </c>
      <c r="C5" s="26" t="str">
        <f>VLOOKUP(C3,'Liste salariés'!A3:G104,2,FALSE)</f>
        <v>VASSEUR Joffrey</v>
      </c>
      <c r="D5" s="19"/>
      <c r="E5" s="19"/>
      <c r="F5" s="55"/>
    </row>
    <row r="6" spans="1:17" ht="39.75" customHeight="1" x14ac:dyDescent="0.3">
      <c r="A6" s="20" t="s">
        <v>252</v>
      </c>
      <c r="C6" s="23">
        <f>VLOOKUP(C3,'Liste salariés'!A3:J103,6,FALSE)</f>
        <v>34163</v>
      </c>
      <c r="D6" s="20" t="s">
        <v>253</v>
      </c>
      <c r="E6" s="49">
        <f ca="1">(B1-C6)/365</f>
        <v>32.682191780821917</v>
      </c>
      <c r="F6" s="48"/>
    </row>
    <row r="7" spans="1:17" ht="26.25" customHeight="1" x14ac:dyDescent="0.3">
      <c r="A7" s="20" t="s">
        <v>254</v>
      </c>
      <c r="C7" s="23">
        <f>VLOOKUP(C3,'Liste salariés'!A3:J105,3,FALSE)</f>
        <v>41505</v>
      </c>
      <c r="D7" s="20" t="s">
        <v>255</v>
      </c>
      <c r="E7" s="49">
        <f ca="1">(B1-C7)/365</f>
        <v>12.567123287671233</v>
      </c>
      <c r="F7" s="48"/>
    </row>
    <row r="8" spans="1:17" x14ac:dyDescent="0.25">
      <c r="B8"/>
    </row>
    <row r="9" spans="1:17" x14ac:dyDescent="0.25">
      <c r="B9"/>
    </row>
    <row r="10" spans="1:17" ht="18.75" x14ac:dyDescent="0.3">
      <c r="A10" s="20" t="s">
        <v>257</v>
      </c>
      <c r="B10"/>
    </row>
    <row r="11" spans="1:17" ht="15.75" thickBot="1" x14ac:dyDescent="0.3"/>
    <row r="12" spans="1:17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17" ht="20.100000000000001" customHeight="1" x14ac:dyDescent="0.25">
      <c r="A13" s="32">
        <v>3002</v>
      </c>
      <c r="B13" s="60" t="s">
        <v>24</v>
      </c>
      <c r="C13" s="33"/>
      <c r="D13" s="44"/>
      <c r="E13" s="45"/>
      <c r="F13" s="34"/>
      <c r="G13" s="34">
        <v>2013</v>
      </c>
      <c r="H13" s="35">
        <v>151.66999999999999</v>
      </c>
      <c r="Q13" s="13"/>
    </row>
    <row r="14" spans="1:17" ht="20.100000000000001" customHeight="1" x14ac:dyDescent="0.25">
      <c r="A14" s="36">
        <v>1004</v>
      </c>
      <c r="B14" s="59" t="s">
        <v>206</v>
      </c>
      <c r="C14" s="37"/>
      <c r="D14" s="42"/>
      <c r="E14" s="46"/>
      <c r="F14" s="38"/>
      <c r="G14" s="38">
        <v>2014</v>
      </c>
      <c r="H14" s="39">
        <v>7</v>
      </c>
      <c r="Q14" s="13"/>
    </row>
    <row r="15" spans="1:17" ht="20.100000000000001" customHeight="1" x14ac:dyDescent="0.25">
      <c r="A15" s="36">
        <v>3002</v>
      </c>
      <c r="B15" s="59" t="s">
        <v>24</v>
      </c>
      <c r="C15" s="37"/>
      <c r="D15" s="42"/>
      <c r="E15" s="46"/>
      <c r="F15" s="38"/>
      <c r="G15" s="38">
        <v>2014</v>
      </c>
      <c r="H15" s="39">
        <v>151.66999999999999</v>
      </c>
      <c r="Q15" s="13"/>
    </row>
    <row r="16" spans="1:17" ht="20.100000000000001" customHeight="1" x14ac:dyDescent="0.25">
      <c r="A16" s="36">
        <v>3005</v>
      </c>
      <c r="B16" s="59" t="s">
        <v>31</v>
      </c>
      <c r="C16" s="37"/>
      <c r="D16" s="42"/>
      <c r="E16" s="46"/>
      <c r="F16" s="38"/>
      <c r="G16" s="38">
        <v>2014</v>
      </c>
      <c r="H16" s="39">
        <v>151.66999999999999</v>
      </c>
      <c r="Q16" s="13"/>
    </row>
    <row r="17" spans="1:17" ht="20.100000000000001" customHeight="1" x14ac:dyDescent="0.25">
      <c r="A17" s="36">
        <v>3006</v>
      </c>
      <c r="B17" s="59" t="s">
        <v>25</v>
      </c>
      <c r="C17" s="37"/>
      <c r="D17" s="42"/>
      <c r="E17" s="46"/>
      <c r="F17" s="38"/>
      <c r="G17" s="38">
        <v>2014</v>
      </c>
      <c r="H17" s="39">
        <v>151.66999999999999</v>
      </c>
      <c r="Q17" s="13"/>
    </row>
    <row r="18" spans="1:17" ht="20.100000000000001" customHeight="1" x14ac:dyDescent="0.25">
      <c r="A18" s="36">
        <v>3040</v>
      </c>
      <c r="B18" s="59" t="s">
        <v>27</v>
      </c>
      <c r="C18" s="37"/>
      <c r="D18" s="42"/>
      <c r="E18" s="46"/>
      <c r="F18" s="38"/>
      <c r="G18" s="38">
        <v>2015</v>
      </c>
      <c r="H18" s="39">
        <v>151.66999999999999</v>
      </c>
      <c r="Q18" s="13"/>
    </row>
    <row r="19" spans="1:17" ht="20.100000000000001" customHeight="1" x14ac:dyDescent="0.25">
      <c r="A19" s="36">
        <v>3002</v>
      </c>
      <c r="B19" s="59" t="s">
        <v>24</v>
      </c>
      <c r="C19" s="37"/>
      <c r="D19" s="42"/>
      <c r="E19" s="46"/>
      <c r="F19" s="38"/>
      <c r="G19" s="38">
        <v>2016</v>
      </c>
      <c r="H19" s="39">
        <v>151.66999999999999</v>
      </c>
      <c r="Q19" s="13"/>
    </row>
    <row r="20" spans="1:17" ht="20.100000000000001" customHeight="1" x14ac:dyDescent="0.25">
      <c r="A20" s="36">
        <v>3005</v>
      </c>
      <c r="B20" s="59" t="s">
        <v>31</v>
      </c>
      <c r="C20" s="37"/>
      <c r="D20" s="42"/>
      <c r="E20" s="46"/>
      <c r="F20" s="38"/>
      <c r="G20" s="38">
        <v>2016</v>
      </c>
      <c r="H20" s="39">
        <v>151.66999999999999</v>
      </c>
      <c r="Q20" s="13"/>
    </row>
    <row r="21" spans="1:17" ht="20.100000000000001" customHeight="1" x14ac:dyDescent="0.25">
      <c r="A21" s="36">
        <v>3006</v>
      </c>
      <c r="B21" s="59" t="s">
        <v>25</v>
      </c>
      <c r="C21" s="37"/>
      <c r="D21" s="42"/>
      <c r="E21" s="46"/>
      <c r="F21" s="38"/>
      <c r="G21" s="38">
        <v>2016</v>
      </c>
      <c r="H21" s="39">
        <v>151.66999999999999</v>
      </c>
      <c r="Q21" s="13"/>
    </row>
    <row r="22" spans="1:17" ht="20.100000000000001" customHeight="1" x14ac:dyDescent="0.25">
      <c r="A22" s="36">
        <v>2007</v>
      </c>
      <c r="B22" s="59" t="s">
        <v>245</v>
      </c>
      <c r="C22" s="37"/>
      <c r="D22" s="42"/>
      <c r="E22" s="46"/>
      <c r="F22" s="38"/>
      <c r="G22" s="38">
        <v>2017</v>
      </c>
      <c r="H22" s="39">
        <v>7</v>
      </c>
      <c r="Q22" s="13"/>
    </row>
    <row r="23" spans="1:17" ht="20.100000000000001" customHeight="1" x14ac:dyDescent="0.25">
      <c r="A23" s="36">
        <v>3040</v>
      </c>
      <c r="B23" s="59" t="s">
        <v>27</v>
      </c>
      <c r="C23" s="37"/>
      <c r="D23" s="42"/>
      <c r="E23" s="46"/>
      <c r="F23" s="38"/>
      <c r="G23" s="38">
        <v>2017</v>
      </c>
      <c r="H23" s="39">
        <v>140</v>
      </c>
      <c r="Q23" s="13"/>
    </row>
    <row r="24" spans="1:17" ht="20.100000000000001" customHeight="1" x14ac:dyDescent="0.25">
      <c r="A24" s="36">
        <v>3002</v>
      </c>
      <c r="B24" s="59" t="s">
        <v>24</v>
      </c>
      <c r="C24" s="37"/>
      <c r="D24" s="42"/>
      <c r="E24" s="46"/>
      <c r="F24" s="38"/>
      <c r="G24" s="38">
        <v>2018</v>
      </c>
      <c r="H24" s="39">
        <v>151.66999999999999</v>
      </c>
      <c r="Q24" s="13"/>
    </row>
    <row r="25" spans="1:17" ht="20.100000000000001" customHeight="1" x14ac:dyDescent="0.25">
      <c r="A25" s="36">
        <v>3005</v>
      </c>
      <c r="B25" s="59" t="s">
        <v>31</v>
      </c>
      <c r="C25" s="37"/>
      <c r="D25" s="42"/>
      <c r="E25" s="46"/>
      <c r="F25" s="38"/>
      <c r="G25" s="38">
        <v>2018</v>
      </c>
      <c r="H25" s="39">
        <v>151.66999999999999</v>
      </c>
      <c r="Q25" s="13"/>
    </row>
    <row r="26" spans="1:17" ht="20.100000000000001" customHeight="1" x14ac:dyDescent="0.25">
      <c r="A26" s="36">
        <v>3006</v>
      </c>
      <c r="B26" s="59" t="s">
        <v>25</v>
      </c>
      <c r="C26" s="37"/>
      <c r="D26" s="42"/>
      <c r="E26" s="46"/>
      <c r="F26" s="38"/>
      <c r="G26" s="38">
        <v>2018</v>
      </c>
      <c r="H26" s="39">
        <v>151.66999999999999</v>
      </c>
      <c r="Q26" s="13"/>
    </row>
    <row r="27" spans="1:17" ht="20.100000000000001" customHeight="1" x14ac:dyDescent="0.25">
      <c r="A27" s="36">
        <v>3007</v>
      </c>
      <c r="B27" s="59" t="s">
        <v>26</v>
      </c>
      <c r="C27" s="37"/>
      <c r="D27" s="42"/>
      <c r="E27" s="46"/>
      <c r="F27" s="38"/>
      <c r="G27" s="38">
        <v>2018</v>
      </c>
      <c r="H27" s="39">
        <v>151.66999999999999</v>
      </c>
      <c r="Q27" s="13"/>
    </row>
    <row r="28" spans="1:17" ht="20.100000000000001" customHeight="1" x14ac:dyDescent="0.25">
      <c r="A28" s="36">
        <v>3039</v>
      </c>
      <c r="B28" s="59" t="s">
        <v>28</v>
      </c>
      <c r="C28" s="37"/>
      <c r="D28" s="42"/>
      <c r="E28" s="46"/>
      <c r="F28" s="38"/>
      <c r="G28" s="38">
        <v>2018</v>
      </c>
      <c r="H28" s="39">
        <v>151.66999999999999</v>
      </c>
      <c r="Q28" s="13"/>
    </row>
    <row r="29" spans="1:17" ht="20.100000000000001" customHeight="1" x14ac:dyDescent="0.25">
      <c r="A29" s="36">
        <v>3040</v>
      </c>
      <c r="B29" s="59" t="s">
        <v>27</v>
      </c>
      <c r="C29" s="37"/>
      <c r="D29" s="42"/>
      <c r="E29" s="46"/>
      <c r="F29" s="38"/>
      <c r="G29" s="38">
        <v>2018</v>
      </c>
      <c r="H29" s="39">
        <v>151.66999999999999</v>
      </c>
      <c r="Q29" s="13"/>
    </row>
    <row r="30" spans="1:17" ht="20.100000000000001" customHeight="1" x14ac:dyDescent="0.25">
      <c r="A30" s="36">
        <v>1004</v>
      </c>
      <c r="B30" s="59" t="s">
        <v>206</v>
      </c>
      <c r="C30" s="37"/>
      <c r="D30" s="42"/>
      <c r="E30" s="46"/>
      <c r="F30" s="38"/>
      <c r="G30" s="38">
        <v>2019</v>
      </c>
      <c r="H30" s="39">
        <v>7</v>
      </c>
      <c r="Q30" s="13"/>
    </row>
    <row r="31" spans="1:17" ht="20.100000000000001" customHeight="1" x14ac:dyDescent="0.25">
      <c r="A31" s="36">
        <v>1016</v>
      </c>
      <c r="B31" s="59" t="s">
        <v>207</v>
      </c>
      <c r="C31" s="37"/>
      <c r="D31" s="42"/>
      <c r="E31" s="46"/>
      <c r="F31" s="38"/>
      <c r="G31" s="38">
        <v>2019</v>
      </c>
      <c r="H31" s="39">
        <v>14</v>
      </c>
      <c r="Q31" s="13"/>
    </row>
    <row r="32" spans="1:17" ht="20.100000000000001" customHeight="1" x14ac:dyDescent="0.25">
      <c r="A32" s="36">
        <v>1022</v>
      </c>
      <c r="B32" s="59" t="s">
        <v>220</v>
      </c>
      <c r="C32" s="37"/>
      <c r="D32" s="42"/>
      <c r="E32" s="46"/>
      <c r="F32" s="38"/>
      <c r="G32" s="38">
        <v>2019</v>
      </c>
      <c r="H32" s="39">
        <v>0.16</v>
      </c>
      <c r="Q32" s="13"/>
    </row>
    <row r="33" spans="1:17" ht="20.100000000000001" customHeight="1" x14ac:dyDescent="0.25">
      <c r="A33" s="36">
        <v>3038</v>
      </c>
      <c r="B33" s="37" t="s">
        <v>41</v>
      </c>
      <c r="C33" s="37"/>
      <c r="D33" s="42"/>
      <c r="E33" s="46"/>
      <c r="F33" s="38"/>
      <c r="G33" s="38">
        <v>2019</v>
      </c>
      <c r="H33" s="39">
        <v>151.66999999999999</v>
      </c>
      <c r="Q33" s="13"/>
    </row>
    <row r="34" spans="1:17" ht="20.100000000000001" customHeight="1" x14ac:dyDescent="0.25">
      <c r="A34" s="36">
        <v>3041</v>
      </c>
      <c r="B34" s="37" t="s">
        <v>36</v>
      </c>
      <c r="C34" s="37"/>
      <c r="D34" s="42"/>
      <c r="E34" s="46"/>
      <c r="F34" s="38"/>
      <c r="G34" s="38">
        <v>2019</v>
      </c>
      <c r="H34" s="39">
        <v>151.66999999999999</v>
      </c>
      <c r="Q34" s="13"/>
    </row>
    <row r="35" spans="1:17" ht="20.100000000000001" customHeight="1" x14ac:dyDescent="0.25">
      <c r="A35" s="36">
        <v>2007</v>
      </c>
      <c r="B35" s="37" t="s">
        <v>245</v>
      </c>
      <c r="C35" s="37"/>
      <c r="D35" s="42"/>
      <c r="E35" s="46"/>
      <c r="F35" s="38"/>
      <c r="G35" s="38">
        <v>2020</v>
      </c>
      <c r="H35" s="39">
        <v>2.5</v>
      </c>
      <c r="Q35" s="13"/>
    </row>
    <row r="36" spans="1:17" ht="20.100000000000001" customHeight="1" x14ac:dyDescent="0.25">
      <c r="A36" s="36">
        <v>3001</v>
      </c>
      <c r="B36" s="37" t="s">
        <v>23</v>
      </c>
      <c r="C36" s="37"/>
      <c r="D36" s="42"/>
      <c r="E36" s="46"/>
      <c r="F36" s="38"/>
      <c r="G36" s="38">
        <v>2020</v>
      </c>
      <c r="H36" s="39">
        <v>151.66999999999999</v>
      </c>
      <c r="Q36" s="13"/>
    </row>
    <row r="37" spans="1:17" ht="20.100000000000001" customHeight="1" x14ac:dyDescent="0.25">
      <c r="A37" s="36">
        <v>3014</v>
      </c>
      <c r="B37" s="37" t="s">
        <v>47</v>
      </c>
      <c r="C37" s="37"/>
      <c r="D37" s="42"/>
      <c r="E37" s="46"/>
      <c r="F37" s="38"/>
      <c r="G37" s="38">
        <v>2020</v>
      </c>
      <c r="H37" s="39">
        <v>10</v>
      </c>
      <c r="Q37" s="13"/>
    </row>
    <row r="38" spans="1:17" ht="20.100000000000001" customHeight="1" x14ac:dyDescent="0.25">
      <c r="A38" s="36">
        <v>3015</v>
      </c>
      <c r="B38" s="37" t="s">
        <v>49</v>
      </c>
      <c r="C38" s="37"/>
      <c r="D38" s="42"/>
      <c r="E38" s="46"/>
      <c r="F38" s="38"/>
      <c r="G38" s="38">
        <v>2020</v>
      </c>
      <c r="H38" s="39">
        <v>16</v>
      </c>
      <c r="Q38" s="13"/>
    </row>
    <row r="39" spans="1:17" ht="20.100000000000001" customHeight="1" x14ac:dyDescent="0.25">
      <c r="A39" s="36">
        <v>3016</v>
      </c>
      <c r="B39" s="37" t="s">
        <v>50</v>
      </c>
      <c r="C39" s="37"/>
      <c r="D39" s="42"/>
      <c r="E39" s="46"/>
      <c r="F39" s="38"/>
      <c r="G39" s="38">
        <v>2020</v>
      </c>
      <c r="H39" s="39">
        <v>16</v>
      </c>
      <c r="Q39" s="13"/>
    </row>
    <row r="40" spans="1:17" ht="20.100000000000001" customHeight="1" x14ac:dyDescent="0.25">
      <c r="A40" s="36">
        <v>3026</v>
      </c>
      <c r="B40" s="37" t="s">
        <v>40</v>
      </c>
      <c r="C40" s="37"/>
      <c r="D40" s="42"/>
      <c r="E40" s="46"/>
      <c r="F40" s="38"/>
      <c r="G40" s="38">
        <v>2020</v>
      </c>
      <c r="H40" s="39">
        <v>40</v>
      </c>
      <c r="Q40" s="13"/>
    </row>
    <row r="41" spans="1:17" ht="20.100000000000001" customHeight="1" x14ac:dyDescent="0.25">
      <c r="A41" s="36">
        <v>3027</v>
      </c>
      <c r="B41" s="37" t="s">
        <v>53</v>
      </c>
      <c r="C41" s="37"/>
      <c r="D41" s="42"/>
      <c r="E41" s="46"/>
      <c r="F41" s="38"/>
      <c r="G41" s="38">
        <v>2020</v>
      </c>
      <c r="H41" s="39">
        <v>64</v>
      </c>
      <c r="Q41" s="13"/>
    </row>
    <row r="42" spans="1:17" ht="20.100000000000001" customHeight="1" x14ac:dyDescent="0.25">
      <c r="A42" s="36">
        <v>3028</v>
      </c>
      <c r="B42" s="37" t="s">
        <v>39</v>
      </c>
      <c r="C42" s="37"/>
      <c r="D42" s="42"/>
      <c r="E42" s="46"/>
      <c r="F42" s="38"/>
      <c r="G42" s="38">
        <v>2020</v>
      </c>
      <c r="H42" s="39">
        <v>66</v>
      </c>
      <c r="Q42" s="13"/>
    </row>
    <row r="43" spans="1:17" ht="20.100000000000001" customHeight="1" x14ac:dyDescent="0.25">
      <c r="A43" s="36">
        <v>3043</v>
      </c>
      <c r="B43" s="37" t="s">
        <v>44</v>
      </c>
      <c r="C43" s="37"/>
      <c r="D43" s="42"/>
      <c r="E43" s="46"/>
      <c r="F43" s="38"/>
      <c r="G43" s="38">
        <v>2020</v>
      </c>
      <c r="H43" s="39">
        <v>151.66999999999999</v>
      </c>
      <c r="Q43" s="13"/>
    </row>
    <row r="44" spans="1:17" ht="20.100000000000001" customHeight="1" x14ac:dyDescent="0.25">
      <c r="A44" s="36">
        <v>1002</v>
      </c>
      <c r="B44" s="37" t="s">
        <v>204</v>
      </c>
      <c r="C44" s="37"/>
      <c r="D44" s="42"/>
      <c r="E44" s="46"/>
      <c r="F44" s="38"/>
      <c r="G44" s="38">
        <v>2023</v>
      </c>
      <c r="H44" s="39">
        <v>14</v>
      </c>
      <c r="Q44" s="13"/>
    </row>
    <row r="45" spans="1:17" ht="20.100000000000001" customHeight="1" x14ac:dyDescent="0.25">
      <c r="A45" s="36">
        <v>1009</v>
      </c>
      <c r="B45" s="37" t="s">
        <v>221</v>
      </c>
      <c r="C45" s="37"/>
      <c r="D45" s="42"/>
      <c r="E45" s="46"/>
      <c r="F45" s="38"/>
      <c r="G45" s="38">
        <v>2023</v>
      </c>
      <c r="H45" s="39">
        <v>2</v>
      </c>
      <c r="Q45" s="13"/>
    </row>
    <row r="46" spans="1:17" ht="20.100000000000001" customHeight="1" x14ac:dyDescent="0.25">
      <c r="A46" s="36">
        <v>1010</v>
      </c>
      <c r="B46" s="37" t="s">
        <v>222</v>
      </c>
      <c r="C46" s="37"/>
      <c r="D46" s="42"/>
      <c r="E46" s="46"/>
      <c r="F46" s="38"/>
      <c r="G46" s="38">
        <v>2023</v>
      </c>
      <c r="H46" s="39">
        <v>2</v>
      </c>
      <c r="Q46" s="13"/>
    </row>
    <row r="47" spans="1:17" ht="20.100000000000001" customHeight="1" x14ac:dyDescent="0.25">
      <c r="A47" s="36">
        <v>1033</v>
      </c>
      <c r="B47" s="37" t="s">
        <v>248</v>
      </c>
      <c r="C47" s="37"/>
      <c r="D47" s="42"/>
      <c r="E47" s="46"/>
      <c r="F47" s="38"/>
      <c r="G47" s="38">
        <v>2024</v>
      </c>
      <c r="H47" s="39">
        <v>1.5</v>
      </c>
      <c r="Q47" s="13"/>
    </row>
    <row r="48" spans="1:17" ht="20.100000000000001" customHeight="1" x14ac:dyDescent="0.25">
      <c r="A48" s="36">
        <v>1020</v>
      </c>
      <c r="B48" s="37" t="s">
        <v>202</v>
      </c>
      <c r="C48" s="37"/>
      <c r="D48" s="42"/>
      <c r="E48" s="46"/>
      <c r="F48" s="38"/>
      <c r="G48" s="38">
        <v>2024</v>
      </c>
      <c r="H48" s="39">
        <v>3.5</v>
      </c>
      <c r="Q48" s="13"/>
    </row>
    <row r="49" spans="1:17" ht="20.100000000000001" customHeight="1" x14ac:dyDescent="0.25">
      <c r="A49" s="36">
        <v>2031</v>
      </c>
      <c r="B49" s="37" t="s">
        <v>180</v>
      </c>
      <c r="C49" s="37"/>
      <c r="D49" s="42"/>
      <c r="E49" s="46"/>
      <c r="F49" s="38"/>
      <c r="G49" s="38">
        <v>2024</v>
      </c>
      <c r="H49" s="39">
        <v>2</v>
      </c>
      <c r="Q49" s="13"/>
    </row>
    <row r="50" spans="1:17" ht="20.100000000000001" customHeight="1" x14ac:dyDescent="0.25">
      <c r="A50" s="36">
        <v>3037</v>
      </c>
      <c r="B50" s="37" t="s">
        <v>29</v>
      </c>
      <c r="C50" s="37"/>
      <c r="D50" s="42"/>
      <c r="E50" s="46"/>
      <c r="F50" s="38"/>
      <c r="G50" s="38">
        <v>2024</v>
      </c>
      <c r="H50" s="39">
        <v>151.66999999999999</v>
      </c>
      <c r="Q50" s="13"/>
    </row>
    <row r="51" spans="1:17" ht="20.100000000000001" customHeight="1" x14ac:dyDescent="0.25">
      <c r="A51" s="36">
        <v>1012</v>
      </c>
      <c r="B51" s="37" t="s">
        <v>242</v>
      </c>
      <c r="C51" s="37"/>
      <c r="D51" s="42"/>
      <c r="E51" s="46"/>
      <c r="F51" s="38"/>
      <c r="G51" s="38">
        <v>2024</v>
      </c>
      <c r="H51" s="39">
        <v>3.5</v>
      </c>
      <c r="Q51" s="13"/>
    </row>
    <row r="52" spans="1:17" ht="20.100000000000001" customHeight="1" x14ac:dyDescent="0.25">
      <c r="A52" s="36">
        <v>1006</v>
      </c>
      <c r="B52" s="37" t="s">
        <v>150</v>
      </c>
      <c r="C52" s="37"/>
      <c r="D52" s="42"/>
      <c r="E52" s="46"/>
      <c r="F52" s="38"/>
      <c r="G52" s="38">
        <v>2024</v>
      </c>
      <c r="H52" s="39">
        <v>14</v>
      </c>
      <c r="Q52" s="13"/>
    </row>
    <row r="53" spans="1:17" ht="20.100000000000001" customHeight="1" x14ac:dyDescent="0.25">
      <c r="A53" s="36">
        <v>3004</v>
      </c>
      <c r="B53" s="37" t="s">
        <v>34</v>
      </c>
      <c r="C53" s="37"/>
      <c r="D53" s="42"/>
      <c r="E53" s="46"/>
      <c r="F53" s="38"/>
      <c r="G53" s="38">
        <v>2025</v>
      </c>
      <c r="H53" s="39">
        <v>105</v>
      </c>
      <c r="Q53" s="13"/>
    </row>
    <row r="54" spans="1:17" ht="20.100000000000001" customHeight="1" x14ac:dyDescent="0.25">
      <c r="A54" s="36"/>
      <c r="B54" s="37"/>
      <c r="C54" s="37"/>
      <c r="D54" s="42"/>
      <c r="E54" s="46"/>
      <c r="F54" s="38"/>
      <c r="G54" s="38"/>
      <c r="H54" s="39"/>
      <c r="Q54" s="13"/>
    </row>
    <row r="55" spans="1:17" ht="20.100000000000001" customHeight="1" x14ac:dyDescent="0.25">
      <c r="A55" s="36"/>
      <c r="B55" s="37"/>
      <c r="C55" s="37"/>
      <c r="D55" s="42"/>
      <c r="E55" s="46"/>
      <c r="F55" s="38"/>
      <c r="G55" s="38"/>
      <c r="H55" s="39"/>
      <c r="Q55" s="13"/>
    </row>
    <row r="56" spans="1:17" ht="20.100000000000001" customHeight="1" x14ac:dyDescent="0.25">
      <c r="A56" s="36"/>
      <c r="B56" s="37"/>
      <c r="C56" s="37"/>
      <c r="D56" s="42"/>
      <c r="E56" s="46"/>
      <c r="F56" s="38"/>
      <c r="G56" s="38"/>
      <c r="H56" s="39"/>
      <c r="Q56" s="13"/>
    </row>
    <row r="57" spans="1:17" ht="15.75" thickBot="1" x14ac:dyDescent="0.3">
      <c r="A57" s="30"/>
      <c r="B57" s="27"/>
      <c r="C57" s="28"/>
      <c r="D57" s="31"/>
      <c r="E57" s="47"/>
      <c r="F57" s="57"/>
      <c r="G57" s="57"/>
      <c r="H57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7"/>
  <sheetViews>
    <sheetView workbookViewId="0">
      <selection activeCell="A56" sqref="A56:XFD56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17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17" ht="18.75" x14ac:dyDescent="0.3">
      <c r="A2" s="19"/>
      <c r="B2" s="24"/>
      <c r="D2" s="19"/>
      <c r="E2" s="19"/>
      <c r="F2" s="55"/>
    </row>
    <row r="3" spans="1:17" ht="18.75" x14ac:dyDescent="0.3">
      <c r="A3" s="20" t="s">
        <v>251</v>
      </c>
      <c r="C3" s="25">
        <v>318</v>
      </c>
      <c r="D3" s="19"/>
      <c r="E3" s="19"/>
      <c r="F3" s="55"/>
    </row>
    <row r="4" spans="1:17" ht="18.75" x14ac:dyDescent="0.3">
      <c r="A4" s="19"/>
      <c r="B4" s="24"/>
      <c r="D4" s="19"/>
      <c r="E4" s="19"/>
      <c r="F4" s="55"/>
    </row>
    <row r="5" spans="1:17" ht="18.75" x14ac:dyDescent="0.3">
      <c r="A5" s="20" t="s">
        <v>256</v>
      </c>
      <c r="C5" s="26" t="str">
        <f>VLOOKUP(C3,'Liste salariés'!A3:G104,2,FALSE)</f>
        <v>COUCHINAVE  Eric</v>
      </c>
      <c r="D5" s="19"/>
      <c r="E5" s="19"/>
      <c r="F5" s="55"/>
    </row>
    <row r="6" spans="1:17" ht="39.75" customHeight="1" x14ac:dyDescent="0.3">
      <c r="A6" s="20" t="s">
        <v>252</v>
      </c>
      <c r="C6" s="23">
        <f>VLOOKUP(C3,'Liste salariés'!A3:J103,6,FALSE)</f>
        <v>28343</v>
      </c>
      <c r="D6" s="20" t="s">
        <v>253</v>
      </c>
      <c r="E6" s="49">
        <f ca="1">(B1-C6)/365</f>
        <v>48.627397260273973</v>
      </c>
      <c r="F6" s="48"/>
    </row>
    <row r="7" spans="1:17" ht="26.25" customHeight="1" x14ac:dyDescent="0.3">
      <c r="A7" s="20" t="s">
        <v>254</v>
      </c>
      <c r="C7" s="23">
        <f>VLOOKUP(C3,'Liste salariés'!A3:J105,3,FALSE)</f>
        <v>41337</v>
      </c>
      <c r="D7" s="20" t="s">
        <v>255</v>
      </c>
      <c r="E7" s="49">
        <f ca="1">(B1-C7)/365</f>
        <v>13.027397260273972</v>
      </c>
      <c r="F7" s="48"/>
    </row>
    <row r="8" spans="1:17" x14ac:dyDescent="0.25">
      <c r="B8"/>
    </row>
    <row r="9" spans="1:17" x14ac:dyDescent="0.25">
      <c r="B9"/>
    </row>
    <row r="10" spans="1:17" ht="18.75" x14ac:dyDescent="0.3">
      <c r="A10" s="20" t="s">
        <v>257</v>
      </c>
      <c r="B10"/>
    </row>
    <row r="11" spans="1:17" ht="15.75" thickBot="1" x14ac:dyDescent="0.3"/>
    <row r="12" spans="1:17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17" ht="20.100000000000001" customHeight="1" x14ac:dyDescent="0.25">
      <c r="A13" s="32">
        <v>3002</v>
      </c>
      <c r="B13" s="60" t="s">
        <v>24</v>
      </c>
      <c r="C13" s="33"/>
      <c r="D13" s="44"/>
      <c r="E13" s="45"/>
      <c r="F13" s="34"/>
      <c r="G13" s="34">
        <v>2013</v>
      </c>
      <c r="H13" s="35">
        <v>151.66999999999999</v>
      </c>
      <c r="Q13" s="13"/>
    </row>
    <row r="14" spans="1:17" ht="20.100000000000001" customHeight="1" x14ac:dyDescent="0.25">
      <c r="A14" s="36">
        <v>1004</v>
      </c>
      <c r="B14" s="59" t="s">
        <v>206</v>
      </c>
      <c r="C14" s="37"/>
      <c r="D14" s="42"/>
      <c r="E14" s="46"/>
      <c r="F14" s="38"/>
      <c r="G14" s="38">
        <v>2014</v>
      </c>
      <c r="H14" s="39">
        <v>7</v>
      </c>
      <c r="Q14" s="13"/>
    </row>
    <row r="15" spans="1:17" ht="20.100000000000001" customHeight="1" x14ac:dyDescent="0.25">
      <c r="A15" s="36">
        <v>3002</v>
      </c>
      <c r="B15" s="59" t="s">
        <v>24</v>
      </c>
      <c r="C15" s="37"/>
      <c r="D15" s="42"/>
      <c r="E15" s="46"/>
      <c r="F15" s="38"/>
      <c r="G15" s="38">
        <v>2015</v>
      </c>
      <c r="H15" s="39">
        <v>151.66999999999999</v>
      </c>
      <c r="Q15" s="13"/>
    </row>
    <row r="16" spans="1:17" ht="20.100000000000001" customHeight="1" x14ac:dyDescent="0.25">
      <c r="A16" s="36">
        <v>3002</v>
      </c>
      <c r="B16" s="59" t="s">
        <v>24</v>
      </c>
      <c r="C16" s="37"/>
      <c r="D16" s="42"/>
      <c r="E16" s="46"/>
      <c r="F16" s="38"/>
      <c r="G16" s="38">
        <v>2017</v>
      </c>
      <c r="H16" s="39">
        <v>151.66999999999999</v>
      </c>
      <c r="Q16" s="13"/>
    </row>
    <row r="17" spans="1:17" ht="20.100000000000001" customHeight="1" x14ac:dyDescent="0.25">
      <c r="A17" s="36">
        <v>3003</v>
      </c>
      <c r="B17" s="59" t="s">
        <v>162</v>
      </c>
      <c r="C17" s="37"/>
      <c r="D17" s="42"/>
      <c r="E17" s="46"/>
      <c r="F17" s="38"/>
      <c r="G17" s="38">
        <v>2017</v>
      </c>
      <c r="H17" s="39">
        <v>151.66999999999999</v>
      </c>
      <c r="Q17" s="13"/>
    </row>
    <row r="18" spans="1:17" ht="20.100000000000001" customHeight="1" x14ac:dyDescent="0.25">
      <c r="A18" s="36">
        <v>3006</v>
      </c>
      <c r="B18" s="59" t="s">
        <v>25</v>
      </c>
      <c r="C18" s="37"/>
      <c r="D18" s="42"/>
      <c r="E18" s="46"/>
      <c r="F18" s="38"/>
      <c r="G18" s="38">
        <v>2017</v>
      </c>
      <c r="H18" s="39">
        <v>151.66999999999999</v>
      </c>
      <c r="Q18" s="13"/>
    </row>
    <row r="19" spans="1:17" ht="20.100000000000001" customHeight="1" x14ac:dyDescent="0.25">
      <c r="A19" s="36">
        <v>2007</v>
      </c>
      <c r="B19" s="59" t="s">
        <v>245</v>
      </c>
      <c r="C19" s="37"/>
      <c r="D19" s="42"/>
      <c r="E19" s="46"/>
      <c r="F19" s="38"/>
      <c r="G19" s="38">
        <v>2017</v>
      </c>
      <c r="H19" s="39">
        <v>2</v>
      </c>
      <c r="Q19" s="13"/>
    </row>
    <row r="20" spans="1:17" ht="20.100000000000001" customHeight="1" x14ac:dyDescent="0.25">
      <c r="A20" s="36">
        <v>1020</v>
      </c>
      <c r="B20" s="59" t="s">
        <v>202</v>
      </c>
      <c r="C20" s="37"/>
      <c r="D20" s="42"/>
      <c r="E20" s="46"/>
      <c r="F20" s="38"/>
      <c r="G20" s="38">
        <v>2018</v>
      </c>
      <c r="H20" s="39">
        <v>3.5</v>
      </c>
      <c r="Q20" s="13"/>
    </row>
    <row r="21" spans="1:17" ht="20.100000000000001" customHeight="1" x14ac:dyDescent="0.25">
      <c r="A21" s="36">
        <v>1021</v>
      </c>
      <c r="B21" s="59" t="s">
        <v>230</v>
      </c>
      <c r="C21" s="37"/>
      <c r="D21" s="42"/>
      <c r="E21" s="46"/>
      <c r="F21" s="38"/>
      <c r="G21" s="38">
        <v>2018</v>
      </c>
      <c r="H21" s="39">
        <v>4</v>
      </c>
      <c r="Q21" s="13"/>
    </row>
    <row r="22" spans="1:17" ht="20.100000000000001" customHeight="1" x14ac:dyDescent="0.25">
      <c r="A22" s="36">
        <v>1004</v>
      </c>
      <c r="B22" s="59" t="s">
        <v>206</v>
      </c>
      <c r="C22" s="37"/>
      <c r="D22" s="42"/>
      <c r="E22" s="46"/>
      <c r="F22" s="38"/>
      <c r="G22" s="38">
        <v>2019</v>
      </c>
      <c r="H22" s="39">
        <v>7</v>
      </c>
      <c r="Q22" s="13"/>
    </row>
    <row r="23" spans="1:17" ht="20.100000000000001" customHeight="1" x14ac:dyDescent="0.25">
      <c r="A23" s="36">
        <v>1008</v>
      </c>
      <c r="B23" s="59" t="s">
        <v>241</v>
      </c>
      <c r="C23" s="37"/>
      <c r="D23" s="42"/>
      <c r="E23" s="46"/>
      <c r="F23" s="38"/>
      <c r="G23" s="38">
        <v>2019</v>
      </c>
      <c r="H23" s="39">
        <v>3</v>
      </c>
      <c r="Q23" s="13"/>
    </row>
    <row r="24" spans="1:17" ht="20.100000000000001" customHeight="1" x14ac:dyDescent="0.25">
      <c r="A24" s="36">
        <v>1009</v>
      </c>
      <c r="B24" s="59" t="s">
        <v>221</v>
      </c>
      <c r="C24" s="37"/>
      <c r="D24" s="42"/>
      <c r="E24" s="46"/>
      <c r="F24" s="38"/>
      <c r="G24" s="38">
        <v>2019</v>
      </c>
      <c r="H24" s="39">
        <v>3</v>
      </c>
      <c r="Q24" s="13"/>
    </row>
    <row r="25" spans="1:17" ht="20.100000000000001" customHeight="1" x14ac:dyDescent="0.25">
      <c r="A25" s="36">
        <v>1022</v>
      </c>
      <c r="B25" s="59" t="s">
        <v>220</v>
      </c>
      <c r="C25" s="37"/>
      <c r="D25" s="42"/>
      <c r="E25" s="46"/>
      <c r="F25" s="38"/>
      <c r="G25" s="38">
        <v>2019</v>
      </c>
      <c r="H25" s="39">
        <v>0.16</v>
      </c>
      <c r="Q25" s="13"/>
    </row>
    <row r="26" spans="1:17" ht="20.100000000000001" customHeight="1" x14ac:dyDescent="0.25">
      <c r="A26" s="36">
        <v>3002</v>
      </c>
      <c r="B26" s="59" t="s">
        <v>24</v>
      </c>
      <c r="C26" s="37"/>
      <c r="D26" s="42"/>
      <c r="E26" s="46"/>
      <c r="F26" s="38"/>
      <c r="G26" s="38">
        <v>2019</v>
      </c>
      <c r="H26" s="39">
        <v>151.66999999999999</v>
      </c>
      <c r="Q26" s="13"/>
    </row>
    <row r="27" spans="1:17" ht="20.100000000000001" customHeight="1" x14ac:dyDescent="0.25">
      <c r="A27" s="36">
        <v>3004</v>
      </c>
      <c r="B27" s="59" t="s">
        <v>34</v>
      </c>
      <c r="C27" s="37"/>
      <c r="D27" s="42"/>
      <c r="E27" s="46"/>
      <c r="F27" s="38"/>
      <c r="G27" s="38">
        <v>2019</v>
      </c>
      <c r="H27" s="39">
        <v>151.66999999999999</v>
      </c>
      <c r="Q27" s="13"/>
    </row>
    <row r="28" spans="1:17" ht="20.100000000000001" customHeight="1" x14ac:dyDescent="0.25">
      <c r="A28" s="36">
        <v>3006</v>
      </c>
      <c r="B28" s="59" t="s">
        <v>25</v>
      </c>
      <c r="C28" s="37"/>
      <c r="D28" s="42"/>
      <c r="E28" s="46"/>
      <c r="F28" s="38"/>
      <c r="G28" s="38">
        <v>2019</v>
      </c>
      <c r="H28" s="39">
        <v>151.66999999999999</v>
      </c>
      <c r="Q28" s="13"/>
    </row>
    <row r="29" spans="1:17" ht="20.100000000000001" customHeight="1" x14ac:dyDescent="0.25">
      <c r="A29" s="36">
        <v>3014</v>
      </c>
      <c r="B29" s="59" t="s">
        <v>47</v>
      </c>
      <c r="C29" s="37"/>
      <c r="D29" s="42"/>
      <c r="E29" s="46"/>
      <c r="F29" s="38"/>
      <c r="G29" s="38">
        <v>2019</v>
      </c>
      <c r="H29" s="39">
        <v>151.66999999999999</v>
      </c>
      <c r="Q29" s="13"/>
    </row>
    <row r="30" spans="1:17" ht="20.100000000000001" customHeight="1" x14ac:dyDescent="0.25">
      <c r="A30" s="36">
        <v>3015</v>
      </c>
      <c r="B30" s="59" t="s">
        <v>49</v>
      </c>
      <c r="C30" s="37"/>
      <c r="D30" s="42"/>
      <c r="E30" s="46"/>
      <c r="F30" s="38"/>
      <c r="G30" s="38">
        <v>2020</v>
      </c>
      <c r="H30" s="39">
        <v>26</v>
      </c>
      <c r="Q30" s="13"/>
    </row>
    <row r="31" spans="1:17" ht="20.100000000000001" customHeight="1" x14ac:dyDescent="0.25">
      <c r="A31" s="36">
        <v>3026</v>
      </c>
      <c r="B31" s="59" t="s">
        <v>40</v>
      </c>
      <c r="C31" s="37"/>
      <c r="D31" s="42"/>
      <c r="E31" s="46"/>
      <c r="F31" s="38"/>
      <c r="G31" s="38">
        <v>2020</v>
      </c>
      <c r="H31" s="39">
        <v>96</v>
      </c>
      <c r="Q31" s="13"/>
    </row>
    <row r="32" spans="1:17" ht="20.100000000000001" customHeight="1" x14ac:dyDescent="0.25">
      <c r="A32" s="36">
        <v>3027</v>
      </c>
      <c r="B32" s="59" t="s">
        <v>53</v>
      </c>
      <c r="C32" s="37"/>
      <c r="D32" s="42"/>
      <c r="E32" s="46"/>
      <c r="F32" s="38"/>
      <c r="G32" s="38">
        <v>2020</v>
      </c>
      <c r="H32" s="39">
        <v>64</v>
      </c>
      <c r="Q32" s="13"/>
    </row>
    <row r="33" spans="1:17" ht="20.100000000000001" customHeight="1" x14ac:dyDescent="0.25">
      <c r="A33" s="36">
        <v>3032</v>
      </c>
      <c r="B33" s="37" t="s">
        <v>30</v>
      </c>
      <c r="C33" s="37"/>
      <c r="D33" s="42"/>
      <c r="E33" s="46"/>
      <c r="F33" s="38"/>
      <c r="G33" s="38">
        <v>2020</v>
      </c>
      <c r="H33" s="39">
        <v>151.66999999999999</v>
      </c>
      <c r="Q33" s="13"/>
    </row>
    <row r="34" spans="1:17" ht="20.100000000000001" customHeight="1" x14ac:dyDescent="0.25">
      <c r="A34" s="36">
        <v>3037</v>
      </c>
      <c r="B34" s="37" t="s">
        <v>29</v>
      </c>
      <c r="C34" s="37"/>
      <c r="D34" s="42"/>
      <c r="E34" s="46"/>
      <c r="F34" s="38"/>
      <c r="G34" s="38">
        <v>2020</v>
      </c>
      <c r="H34" s="39">
        <v>151.66999999999999</v>
      </c>
      <c r="Q34" s="13"/>
    </row>
    <row r="35" spans="1:17" ht="20.100000000000001" customHeight="1" x14ac:dyDescent="0.25">
      <c r="A35" s="36">
        <v>3002</v>
      </c>
      <c r="B35" s="37" t="s">
        <v>24</v>
      </c>
      <c r="C35" s="37"/>
      <c r="D35" s="42"/>
      <c r="E35" s="46"/>
      <c r="F35" s="38"/>
      <c r="G35" s="38">
        <v>2021</v>
      </c>
      <c r="H35" s="39">
        <v>151.66999999999999</v>
      </c>
      <c r="Q35" s="13"/>
    </row>
    <row r="36" spans="1:17" ht="20.100000000000001" customHeight="1" x14ac:dyDescent="0.25">
      <c r="A36" s="36">
        <v>3015</v>
      </c>
      <c r="B36" s="37" t="s">
        <v>49</v>
      </c>
      <c r="C36" s="37"/>
      <c r="D36" s="42"/>
      <c r="E36" s="46"/>
      <c r="F36" s="38"/>
      <c r="G36" s="38">
        <v>2021</v>
      </c>
      <c r="H36" s="39">
        <v>151.66999999999999</v>
      </c>
      <c r="Q36" s="13"/>
    </row>
    <row r="37" spans="1:17" ht="20.100000000000001" customHeight="1" x14ac:dyDescent="0.25">
      <c r="A37" s="36">
        <v>3007</v>
      </c>
      <c r="B37" s="37" t="s">
        <v>26</v>
      </c>
      <c r="C37" s="37"/>
      <c r="D37" s="42"/>
      <c r="E37" s="46"/>
      <c r="F37" s="38"/>
      <c r="G37" s="38">
        <v>2023</v>
      </c>
      <c r="H37" s="39">
        <v>151.66999999999999</v>
      </c>
      <c r="Q37" s="13"/>
    </row>
    <row r="38" spans="1:17" ht="20.100000000000001" customHeight="1" x14ac:dyDescent="0.25">
      <c r="A38" s="36">
        <v>1004</v>
      </c>
      <c r="B38" s="37" t="s">
        <v>206</v>
      </c>
      <c r="C38" s="37"/>
      <c r="D38" s="42"/>
      <c r="E38" s="46"/>
      <c r="F38" s="38"/>
      <c r="G38" s="38">
        <v>2024</v>
      </c>
      <c r="H38" s="39">
        <v>7</v>
      </c>
      <c r="Q38" s="13"/>
    </row>
    <row r="39" spans="1:17" ht="20.100000000000001" customHeight="1" x14ac:dyDescent="0.25">
      <c r="A39" s="36">
        <v>3008</v>
      </c>
      <c r="B39" s="37" t="s">
        <v>33</v>
      </c>
      <c r="C39" s="37"/>
      <c r="D39" s="42"/>
      <c r="E39" s="46"/>
      <c r="F39" s="38"/>
      <c r="G39" s="38">
        <v>2025</v>
      </c>
      <c r="H39" s="39">
        <v>35</v>
      </c>
      <c r="Q39" s="13"/>
    </row>
    <row r="40" spans="1:17" ht="20.100000000000001" customHeight="1" x14ac:dyDescent="0.25">
      <c r="A40" s="36">
        <v>3048</v>
      </c>
      <c r="B40" s="37" t="s">
        <v>277</v>
      </c>
      <c r="C40" s="37"/>
      <c r="D40" s="42"/>
      <c r="E40" s="46"/>
      <c r="F40" s="38"/>
      <c r="G40" s="38">
        <v>2025</v>
      </c>
      <c r="H40" s="39">
        <v>30</v>
      </c>
      <c r="Q40" s="13"/>
    </row>
    <row r="41" spans="1:17" x14ac:dyDescent="0.25">
      <c r="A41" s="40"/>
      <c r="B41" s="41"/>
      <c r="C41" s="37"/>
      <c r="D41" s="42"/>
      <c r="E41" s="46"/>
      <c r="F41" s="38"/>
      <c r="G41" s="38"/>
      <c r="H41" s="39"/>
    </row>
    <row r="42" spans="1:17" x14ac:dyDescent="0.25">
      <c r="A42" s="40"/>
      <c r="B42" s="41"/>
      <c r="C42" s="37"/>
      <c r="D42" s="42"/>
      <c r="E42" s="46"/>
      <c r="F42" s="38"/>
      <c r="G42" s="38"/>
      <c r="H42" s="39"/>
    </row>
    <row r="43" spans="1:17" x14ac:dyDescent="0.25">
      <c r="A43" s="40"/>
      <c r="B43" s="41"/>
      <c r="C43" s="37"/>
      <c r="D43" s="42"/>
      <c r="E43" s="46"/>
      <c r="F43" s="38"/>
      <c r="G43" s="38"/>
      <c r="H43" s="39"/>
    </row>
    <row r="44" spans="1:17" x14ac:dyDescent="0.25">
      <c r="A44" s="40"/>
      <c r="B44" s="41"/>
      <c r="C44" s="37"/>
      <c r="D44" s="42"/>
      <c r="E44" s="46"/>
      <c r="F44" s="38"/>
      <c r="G44" s="38"/>
      <c r="H44" s="39"/>
    </row>
    <row r="45" spans="1:17" x14ac:dyDescent="0.25">
      <c r="A45" s="40"/>
      <c r="B45" s="41"/>
      <c r="C45" s="37"/>
      <c r="D45" s="42"/>
      <c r="E45" s="46"/>
      <c r="F45" s="38"/>
      <c r="G45" s="38"/>
      <c r="H45" s="39"/>
    </row>
    <row r="46" spans="1:17" x14ac:dyDescent="0.25">
      <c r="A46" s="40"/>
      <c r="B46" s="41"/>
      <c r="C46" s="37"/>
      <c r="D46" s="42"/>
      <c r="E46" s="46"/>
      <c r="F46" s="38"/>
      <c r="G46" s="38"/>
      <c r="H46" s="39"/>
    </row>
    <row r="47" spans="1:17" x14ac:dyDescent="0.25">
      <c r="A47" s="40"/>
      <c r="B47" s="41"/>
      <c r="C47" s="37"/>
      <c r="D47" s="42"/>
      <c r="E47" s="46"/>
      <c r="F47" s="38"/>
      <c r="G47" s="38"/>
      <c r="H47" s="39"/>
    </row>
    <row r="48" spans="1:17" x14ac:dyDescent="0.25">
      <c r="A48" s="40"/>
      <c r="B48" s="41"/>
      <c r="C48" s="37"/>
      <c r="D48" s="42"/>
      <c r="E48" s="46"/>
      <c r="F48" s="38"/>
      <c r="G48" s="38"/>
      <c r="H48" s="39"/>
    </row>
    <row r="49" spans="1:8" x14ac:dyDescent="0.25">
      <c r="A49" s="40"/>
      <c r="B49" s="41"/>
      <c r="C49" s="37"/>
      <c r="D49" s="42"/>
      <c r="E49" s="46"/>
      <c r="F49" s="38"/>
      <c r="G49" s="38"/>
      <c r="H49" s="39"/>
    </row>
    <row r="50" spans="1:8" x14ac:dyDescent="0.25">
      <c r="A50" s="40"/>
      <c r="B50" s="41"/>
      <c r="C50" s="37"/>
      <c r="D50" s="42"/>
      <c r="E50" s="46"/>
      <c r="F50" s="38"/>
      <c r="G50" s="38"/>
      <c r="H50" s="39"/>
    </row>
    <row r="51" spans="1:8" x14ac:dyDescent="0.25">
      <c r="A51" s="40"/>
      <c r="B51" s="41"/>
      <c r="C51" s="37"/>
      <c r="D51" s="42"/>
      <c r="E51" s="46"/>
      <c r="F51" s="38"/>
      <c r="G51" s="38"/>
      <c r="H51" s="39"/>
    </row>
    <row r="52" spans="1:8" x14ac:dyDescent="0.25">
      <c r="A52" s="40"/>
      <c r="B52" s="41"/>
      <c r="C52" s="37"/>
      <c r="D52" s="42"/>
      <c r="E52" s="46"/>
      <c r="F52" s="38"/>
      <c r="G52" s="38"/>
      <c r="H52" s="39"/>
    </row>
    <row r="53" spans="1:8" x14ac:dyDescent="0.25">
      <c r="A53" s="40"/>
      <c r="B53" s="41"/>
      <c r="C53" s="37"/>
      <c r="D53" s="42"/>
      <c r="E53" s="46"/>
      <c r="F53" s="38"/>
      <c r="G53" s="38"/>
      <c r="H53" s="39"/>
    </row>
    <row r="54" spans="1:8" x14ac:dyDescent="0.25">
      <c r="A54" s="40"/>
      <c r="B54" s="41"/>
      <c r="C54" s="37"/>
      <c r="D54" s="42"/>
      <c r="E54" s="46"/>
      <c r="F54" s="38"/>
      <c r="G54" s="38"/>
      <c r="H54" s="39"/>
    </row>
    <row r="55" spans="1:8" x14ac:dyDescent="0.25">
      <c r="A55" s="40"/>
      <c r="B55" s="41"/>
      <c r="C55" s="37"/>
      <c r="D55" s="42"/>
      <c r="E55" s="46"/>
      <c r="F55" s="38"/>
      <c r="G55" s="38"/>
      <c r="H55" s="39"/>
    </row>
    <row r="56" spans="1:8" x14ac:dyDescent="0.25">
      <c r="A56" s="40"/>
      <c r="B56" s="41"/>
      <c r="C56" s="37"/>
      <c r="D56" s="42"/>
      <c r="E56" s="46"/>
      <c r="F56" s="38"/>
      <c r="G56" s="38"/>
      <c r="H56" s="39"/>
    </row>
    <row r="57" spans="1:8" ht="15.75" thickBot="1" x14ac:dyDescent="0.3">
      <c r="A57" s="30"/>
      <c r="B57" s="27"/>
      <c r="C57" s="28"/>
      <c r="D57" s="31"/>
      <c r="E57" s="47"/>
      <c r="F57" s="57"/>
      <c r="G57" s="57"/>
      <c r="H57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58"/>
  <sheetViews>
    <sheetView workbookViewId="0">
      <selection activeCell="H27" sqref="H27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17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17" ht="18.75" x14ac:dyDescent="0.3">
      <c r="A2" s="19"/>
      <c r="B2" s="24"/>
      <c r="D2" s="19"/>
      <c r="E2" s="19"/>
      <c r="F2" s="55"/>
    </row>
    <row r="3" spans="1:17" ht="18.75" x14ac:dyDescent="0.3">
      <c r="A3" s="20" t="s">
        <v>251</v>
      </c>
      <c r="C3" s="25">
        <v>462</v>
      </c>
      <c r="D3" s="19"/>
      <c r="E3" s="19"/>
      <c r="F3" s="55"/>
    </row>
    <row r="4" spans="1:17" ht="18.75" x14ac:dyDescent="0.3">
      <c r="A4" s="19"/>
      <c r="B4" s="24"/>
      <c r="D4" s="19"/>
      <c r="E4" s="19"/>
      <c r="F4" s="55"/>
    </row>
    <row r="5" spans="1:17" ht="18.75" x14ac:dyDescent="0.3">
      <c r="A5" s="20" t="s">
        <v>256</v>
      </c>
      <c r="C5" s="26" t="str">
        <f>VLOOKUP(C3,'Liste salariés'!A3:G104,2,FALSE)</f>
        <v>CAMPANE Jean François</v>
      </c>
      <c r="D5" s="19"/>
      <c r="E5" s="19"/>
      <c r="F5" s="55"/>
    </row>
    <row r="6" spans="1:17" ht="39.75" customHeight="1" x14ac:dyDescent="0.3">
      <c r="A6" s="20" t="s">
        <v>252</v>
      </c>
      <c r="C6" s="23">
        <f>VLOOKUP(C3,'Liste salariés'!A3:J103,6,FALSE)</f>
        <v>24251</v>
      </c>
      <c r="D6" s="20" t="s">
        <v>253</v>
      </c>
      <c r="E6" s="49">
        <f ca="1">(B1-C6)/365</f>
        <v>59.838356164383562</v>
      </c>
      <c r="F6" s="48"/>
    </row>
    <row r="7" spans="1:17" ht="26.25" customHeight="1" x14ac:dyDescent="0.3">
      <c r="A7" s="20" t="s">
        <v>254</v>
      </c>
      <c r="C7" s="23">
        <f>VLOOKUP(C3,'Liste salariés'!A3:J105,3,FALSE)</f>
        <v>44837</v>
      </c>
      <c r="D7" s="20" t="s">
        <v>255</v>
      </c>
      <c r="E7" s="49">
        <f ca="1">(B1-C7)/365</f>
        <v>3.4383561643835616</v>
      </c>
      <c r="F7" s="48"/>
    </row>
    <row r="8" spans="1:17" x14ac:dyDescent="0.25">
      <c r="B8"/>
    </row>
    <row r="9" spans="1:17" x14ac:dyDescent="0.25">
      <c r="B9"/>
    </row>
    <row r="10" spans="1:17" ht="18.75" x14ac:dyDescent="0.3">
      <c r="A10" s="20" t="s">
        <v>257</v>
      </c>
      <c r="B10"/>
    </row>
    <row r="11" spans="1:17" ht="15.75" thickBot="1" x14ac:dyDescent="0.3"/>
    <row r="12" spans="1:17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17" ht="20.100000000000001" customHeight="1" x14ac:dyDescent="0.25">
      <c r="A13" s="32">
        <v>3005</v>
      </c>
      <c r="B13" s="60" t="s">
        <v>31</v>
      </c>
      <c r="C13" s="33"/>
      <c r="D13" s="44"/>
      <c r="E13" s="45"/>
      <c r="F13" s="34"/>
      <c r="G13" s="34">
        <v>2022</v>
      </c>
      <c r="H13" s="35">
        <v>151.66999999999999</v>
      </c>
    </row>
    <row r="14" spans="1:17" ht="20.100000000000001" customHeight="1" x14ac:dyDescent="0.25">
      <c r="A14" s="36">
        <v>3006</v>
      </c>
      <c r="B14" s="59" t="s">
        <v>25</v>
      </c>
      <c r="C14" s="37"/>
      <c r="D14" s="42"/>
      <c r="E14" s="46"/>
      <c r="F14" s="38"/>
      <c r="G14" s="38">
        <v>2022</v>
      </c>
      <c r="H14" s="39">
        <v>151.66999999999999</v>
      </c>
      <c r="Q14" s="13"/>
    </row>
    <row r="15" spans="1:17" ht="20.100000000000001" customHeight="1" x14ac:dyDescent="0.25">
      <c r="A15" s="36">
        <v>1004</v>
      </c>
      <c r="B15" s="59" t="s">
        <v>206</v>
      </c>
      <c r="C15" s="37"/>
      <c r="D15" s="42"/>
      <c r="E15" s="46"/>
      <c r="F15" s="38"/>
      <c r="G15" s="38">
        <v>2023</v>
      </c>
      <c r="H15" s="39">
        <v>10.5</v>
      </c>
      <c r="Q15" s="13"/>
    </row>
    <row r="16" spans="1:17" ht="20.100000000000001" customHeight="1" x14ac:dyDescent="0.25">
      <c r="A16" s="36">
        <v>1020</v>
      </c>
      <c r="B16" s="59" t="s">
        <v>202</v>
      </c>
      <c r="C16" s="37"/>
      <c r="D16" s="42"/>
      <c r="E16" s="46"/>
      <c r="F16" s="38"/>
      <c r="G16" s="38">
        <v>2024</v>
      </c>
      <c r="H16" s="39">
        <v>3.5</v>
      </c>
      <c r="Q16" s="13"/>
    </row>
    <row r="17" spans="1:18" ht="20.100000000000001" customHeight="1" x14ac:dyDescent="0.25">
      <c r="A17" s="36">
        <v>3007</v>
      </c>
      <c r="B17" s="59" t="s">
        <v>26</v>
      </c>
      <c r="C17" s="37"/>
      <c r="D17" s="42"/>
      <c r="E17" s="46"/>
      <c r="F17" s="38"/>
      <c r="G17" s="38">
        <v>2024</v>
      </c>
      <c r="H17" s="39">
        <v>151.66999999999999</v>
      </c>
      <c r="Q17" s="13"/>
    </row>
    <row r="18" spans="1:18" ht="20.100000000000001" customHeight="1" x14ac:dyDescent="0.25">
      <c r="A18" s="36">
        <v>3007</v>
      </c>
      <c r="B18" s="59" t="s">
        <v>26</v>
      </c>
      <c r="C18" s="37"/>
      <c r="D18" s="42"/>
      <c r="E18" s="46"/>
      <c r="F18" s="38"/>
      <c r="G18" s="38">
        <v>2025</v>
      </c>
      <c r="H18" s="39">
        <v>105</v>
      </c>
      <c r="Q18" s="13"/>
    </row>
    <row r="19" spans="1:18" ht="20.100000000000001" customHeight="1" x14ac:dyDescent="0.25">
      <c r="A19" s="36"/>
      <c r="B19" s="59"/>
      <c r="C19" s="37"/>
      <c r="D19" s="42"/>
      <c r="E19" s="46"/>
      <c r="F19" s="38"/>
      <c r="G19" s="38"/>
      <c r="H19" s="39"/>
      <c r="O19" s="18"/>
      <c r="P19" s="18"/>
      <c r="Q19" s="13"/>
      <c r="R19" s="15"/>
    </row>
    <row r="20" spans="1:18" ht="20.100000000000001" customHeight="1" x14ac:dyDescent="0.25">
      <c r="A20" s="36"/>
      <c r="B20" s="59"/>
      <c r="C20" s="37"/>
      <c r="D20" s="42"/>
      <c r="E20" s="46"/>
      <c r="F20" s="38"/>
      <c r="G20" s="38"/>
      <c r="H20" s="39"/>
    </row>
    <row r="21" spans="1:18" ht="20.100000000000001" customHeight="1" x14ac:dyDescent="0.25">
      <c r="A21" s="36"/>
      <c r="B21" s="59"/>
      <c r="C21" s="37"/>
      <c r="D21" s="42"/>
      <c r="E21" s="46"/>
      <c r="F21" s="38"/>
      <c r="G21" s="38"/>
      <c r="H21" s="39"/>
    </row>
    <row r="22" spans="1:18" ht="20.100000000000001" customHeight="1" x14ac:dyDescent="0.25">
      <c r="A22" s="36"/>
      <c r="B22" s="59"/>
      <c r="C22" s="37"/>
      <c r="D22" s="42"/>
      <c r="E22" s="46"/>
      <c r="F22" s="38"/>
      <c r="G22" s="38"/>
      <c r="H22" s="39"/>
    </row>
    <row r="23" spans="1:18" ht="20.100000000000001" customHeight="1" x14ac:dyDescent="0.25">
      <c r="A23" s="36"/>
      <c r="B23" s="59"/>
      <c r="C23" s="37"/>
      <c r="D23" s="42"/>
      <c r="E23" s="46"/>
      <c r="F23" s="38"/>
      <c r="G23" s="38"/>
      <c r="H23" s="39"/>
    </row>
    <row r="24" spans="1:18" ht="20.100000000000001" customHeight="1" x14ac:dyDescent="0.25">
      <c r="A24" s="36"/>
      <c r="B24" s="59"/>
      <c r="C24" s="37"/>
      <c r="D24" s="42"/>
      <c r="E24" s="46"/>
      <c r="F24" s="38"/>
      <c r="G24" s="38"/>
      <c r="H24" s="39"/>
    </row>
    <row r="25" spans="1:18" ht="20.100000000000001" customHeight="1" x14ac:dyDescent="0.25">
      <c r="A25" s="36"/>
      <c r="B25" s="59"/>
      <c r="C25" s="37"/>
      <c r="D25" s="42"/>
      <c r="E25" s="46"/>
      <c r="F25" s="38"/>
      <c r="G25" s="38"/>
      <c r="H25" s="39"/>
    </row>
    <row r="26" spans="1:18" ht="20.100000000000001" customHeight="1" x14ac:dyDescent="0.25">
      <c r="A26" s="36"/>
      <c r="B26" s="59"/>
      <c r="C26" s="37"/>
      <c r="D26" s="42"/>
      <c r="E26" s="46"/>
      <c r="F26" s="38"/>
      <c r="G26" s="38"/>
      <c r="H26" s="39"/>
    </row>
    <row r="27" spans="1:18" ht="20.100000000000001" customHeight="1" x14ac:dyDescent="0.25">
      <c r="A27" s="36"/>
      <c r="B27" s="59"/>
      <c r="C27" s="37"/>
      <c r="D27" s="42"/>
      <c r="E27" s="46"/>
      <c r="F27" s="38"/>
      <c r="G27" s="38"/>
      <c r="H27" s="39"/>
    </row>
    <row r="28" spans="1:18" ht="20.100000000000001" customHeight="1" x14ac:dyDescent="0.25">
      <c r="A28" s="36"/>
      <c r="B28" s="59"/>
      <c r="C28" s="37"/>
      <c r="D28" s="42"/>
      <c r="E28" s="46"/>
      <c r="F28" s="38"/>
      <c r="G28" s="38"/>
      <c r="H28" s="39"/>
    </row>
    <row r="29" spans="1:18" ht="20.100000000000001" customHeight="1" x14ac:dyDescent="0.25">
      <c r="A29" s="36"/>
      <c r="B29" s="59"/>
      <c r="C29" s="37"/>
      <c r="D29" s="42"/>
      <c r="E29" s="46"/>
      <c r="F29" s="38"/>
      <c r="G29" s="38"/>
      <c r="H29" s="39"/>
    </row>
    <row r="30" spans="1:18" ht="20.100000000000001" customHeight="1" x14ac:dyDescent="0.25">
      <c r="A30" s="36"/>
      <c r="B30" s="59"/>
      <c r="C30" s="37"/>
      <c r="D30" s="42"/>
      <c r="E30" s="46"/>
      <c r="F30" s="38"/>
      <c r="G30" s="38"/>
      <c r="H30" s="39"/>
    </row>
    <row r="31" spans="1:18" ht="20.100000000000001" customHeight="1" x14ac:dyDescent="0.25">
      <c r="A31" s="36"/>
      <c r="B31" s="59"/>
      <c r="C31" s="37"/>
      <c r="D31" s="42"/>
      <c r="E31" s="46"/>
      <c r="F31" s="38"/>
      <c r="G31" s="38"/>
      <c r="H31" s="39"/>
    </row>
    <row r="32" spans="1:18" ht="20.100000000000001" customHeight="1" x14ac:dyDescent="0.25">
      <c r="A32" s="36"/>
      <c r="B32" s="59"/>
      <c r="C32" s="37"/>
      <c r="D32" s="42"/>
      <c r="E32" s="46"/>
      <c r="F32" s="38"/>
      <c r="G32" s="38"/>
      <c r="H32" s="39"/>
    </row>
    <row r="33" spans="1:8" ht="20.100000000000001" customHeight="1" x14ac:dyDescent="0.25">
      <c r="A33" s="36"/>
      <c r="B33" s="37"/>
      <c r="C33" s="37"/>
      <c r="D33" s="42"/>
      <c r="E33" s="46"/>
      <c r="F33" s="38"/>
      <c r="G33" s="38"/>
      <c r="H33" s="39"/>
    </row>
    <row r="34" spans="1:8" ht="20.100000000000001" customHeight="1" x14ac:dyDescent="0.25">
      <c r="A34" s="36"/>
      <c r="B34" s="37"/>
      <c r="C34" s="37"/>
      <c r="D34" s="42"/>
      <c r="E34" s="46"/>
      <c r="F34" s="38"/>
      <c r="G34" s="38"/>
      <c r="H34" s="39"/>
    </row>
    <row r="35" spans="1:8" ht="20.100000000000001" customHeight="1" x14ac:dyDescent="0.25">
      <c r="A35" s="36"/>
      <c r="B35" s="37"/>
      <c r="C35" s="37"/>
      <c r="D35" s="42"/>
      <c r="E35" s="46"/>
      <c r="F35" s="38"/>
      <c r="G35" s="38"/>
      <c r="H35" s="39"/>
    </row>
    <row r="36" spans="1:8" ht="20.100000000000001" customHeight="1" x14ac:dyDescent="0.25">
      <c r="A36" s="36"/>
      <c r="B36" s="37"/>
      <c r="C36" s="37"/>
      <c r="D36" s="42"/>
      <c r="E36" s="46"/>
      <c r="F36" s="38"/>
      <c r="G36" s="38"/>
      <c r="H36" s="39"/>
    </row>
    <row r="37" spans="1:8" x14ac:dyDescent="0.25">
      <c r="A37" s="40"/>
      <c r="B37" s="41"/>
      <c r="C37" s="37"/>
      <c r="D37" s="42"/>
      <c r="E37" s="46"/>
      <c r="F37" s="38"/>
      <c r="G37" s="38"/>
      <c r="H37" s="39"/>
    </row>
    <row r="38" spans="1:8" x14ac:dyDescent="0.25">
      <c r="A38" s="40"/>
      <c r="B38" s="41"/>
      <c r="C38" s="37"/>
      <c r="D38" s="42"/>
      <c r="E38" s="46"/>
      <c r="F38" s="56"/>
      <c r="G38" s="38"/>
      <c r="H38" s="39"/>
    </row>
    <row r="39" spans="1:8" x14ac:dyDescent="0.25">
      <c r="A39" s="40"/>
      <c r="B39" s="41"/>
      <c r="C39" s="37"/>
      <c r="D39" s="42"/>
      <c r="E39" s="46"/>
      <c r="F39" s="38"/>
      <c r="G39" s="38"/>
      <c r="H39" s="39"/>
    </row>
    <row r="40" spans="1:8" x14ac:dyDescent="0.25">
      <c r="A40" s="40"/>
      <c r="B40" s="41"/>
      <c r="C40" s="37"/>
      <c r="D40" s="42"/>
      <c r="E40" s="46"/>
      <c r="F40" s="38"/>
      <c r="G40" s="38"/>
      <c r="H40" s="39"/>
    </row>
    <row r="41" spans="1:8" x14ac:dyDescent="0.25">
      <c r="A41" s="40"/>
      <c r="B41" s="41"/>
      <c r="C41" s="37"/>
      <c r="D41" s="42"/>
      <c r="E41" s="46"/>
      <c r="F41" s="38"/>
      <c r="G41" s="38"/>
      <c r="H41" s="39"/>
    </row>
    <row r="42" spans="1:8" x14ac:dyDescent="0.25">
      <c r="A42" s="40"/>
      <c r="B42" s="41"/>
      <c r="C42" s="37"/>
      <c r="D42" s="42"/>
      <c r="E42" s="46"/>
      <c r="F42" s="38"/>
      <c r="G42" s="38"/>
      <c r="H42" s="39"/>
    </row>
    <row r="43" spans="1:8" x14ac:dyDescent="0.25">
      <c r="A43" s="40"/>
      <c r="B43" s="41"/>
      <c r="C43" s="37"/>
      <c r="D43" s="42"/>
      <c r="E43" s="46"/>
      <c r="F43" s="38"/>
      <c r="G43" s="38"/>
      <c r="H43" s="39"/>
    </row>
    <row r="44" spans="1:8" x14ac:dyDescent="0.25">
      <c r="A44" s="40"/>
      <c r="B44" s="41"/>
      <c r="C44" s="37"/>
      <c r="D44" s="42"/>
      <c r="E44" s="46"/>
      <c r="F44" s="38"/>
      <c r="G44" s="38"/>
      <c r="H44" s="39"/>
    </row>
    <row r="45" spans="1:8" x14ac:dyDescent="0.25">
      <c r="A45" s="40"/>
      <c r="B45" s="41"/>
      <c r="C45" s="37"/>
      <c r="D45" s="42"/>
      <c r="E45" s="46"/>
      <c r="F45" s="38"/>
      <c r="G45" s="38"/>
      <c r="H45" s="39"/>
    </row>
    <row r="46" spans="1:8" x14ac:dyDescent="0.25">
      <c r="A46" s="40"/>
      <c r="B46" s="41"/>
      <c r="C46" s="37"/>
      <c r="D46" s="42"/>
      <c r="E46" s="46"/>
      <c r="F46" s="38"/>
      <c r="G46" s="38"/>
      <c r="H46" s="39"/>
    </row>
    <row r="47" spans="1:8" x14ac:dyDescent="0.25">
      <c r="A47" s="40"/>
      <c r="B47" s="41"/>
      <c r="C47" s="37"/>
      <c r="D47" s="42"/>
      <c r="E47" s="46"/>
      <c r="F47" s="38"/>
      <c r="G47" s="38"/>
      <c r="H47" s="39"/>
    </row>
    <row r="48" spans="1:8" x14ac:dyDescent="0.25">
      <c r="A48" s="40"/>
      <c r="B48" s="41"/>
      <c r="C48" s="37"/>
      <c r="D48" s="42"/>
      <c r="E48" s="46"/>
      <c r="F48" s="38"/>
      <c r="G48" s="38"/>
      <c r="H48" s="39"/>
    </row>
    <row r="49" spans="1:8" x14ac:dyDescent="0.25">
      <c r="A49" s="40"/>
      <c r="B49" s="41"/>
      <c r="C49" s="37"/>
      <c r="D49" s="42"/>
      <c r="E49" s="46"/>
      <c r="F49" s="38"/>
      <c r="G49" s="38"/>
      <c r="H49" s="39"/>
    </row>
    <row r="50" spans="1:8" x14ac:dyDescent="0.25">
      <c r="A50" s="40"/>
      <c r="B50" s="41"/>
      <c r="C50" s="37"/>
      <c r="D50" s="42"/>
      <c r="E50" s="46"/>
      <c r="F50" s="38"/>
      <c r="G50" s="38"/>
      <c r="H50" s="39"/>
    </row>
    <row r="51" spans="1:8" x14ac:dyDescent="0.25">
      <c r="A51" s="40"/>
      <c r="B51" s="41"/>
      <c r="C51" s="37"/>
      <c r="D51" s="42"/>
      <c r="E51" s="46"/>
      <c r="F51" s="38"/>
      <c r="G51" s="38"/>
      <c r="H51" s="39"/>
    </row>
    <row r="52" spans="1:8" x14ac:dyDescent="0.25">
      <c r="A52" s="40"/>
      <c r="B52" s="41"/>
      <c r="C52" s="37"/>
      <c r="D52" s="42"/>
      <c r="E52" s="46"/>
      <c r="F52" s="38"/>
      <c r="G52" s="38"/>
      <c r="H52" s="39"/>
    </row>
    <row r="53" spans="1:8" x14ac:dyDescent="0.25">
      <c r="A53" s="40"/>
      <c r="B53" s="41"/>
      <c r="C53" s="37"/>
      <c r="D53" s="42"/>
      <c r="E53" s="46"/>
      <c r="F53" s="38"/>
      <c r="G53" s="38"/>
      <c r="H53" s="39"/>
    </row>
    <row r="54" spans="1:8" x14ac:dyDescent="0.25">
      <c r="A54" s="40"/>
      <c r="B54" s="41"/>
      <c r="C54" s="37"/>
      <c r="D54" s="42"/>
      <c r="E54" s="46"/>
      <c r="F54" s="38"/>
      <c r="G54" s="38"/>
      <c r="H54" s="39"/>
    </row>
    <row r="55" spans="1:8" x14ac:dyDescent="0.25">
      <c r="A55" s="40"/>
      <c r="B55" s="41"/>
      <c r="C55" s="37"/>
      <c r="D55" s="42"/>
      <c r="E55" s="46"/>
      <c r="F55" s="38"/>
      <c r="G55" s="38"/>
      <c r="H55" s="39"/>
    </row>
    <row r="56" spans="1:8" x14ac:dyDescent="0.25">
      <c r="A56" s="40"/>
      <c r="B56" s="41"/>
      <c r="C56" s="37"/>
      <c r="D56" s="42"/>
      <c r="E56" s="46"/>
      <c r="F56" s="38"/>
      <c r="G56" s="38"/>
      <c r="H56" s="39"/>
    </row>
    <row r="57" spans="1:8" x14ac:dyDescent="0.25">
      <c r="A57" s="40"/>
      <c r="B57" s="41"/>
      <c r="C57" s="37"/>
      <c r="D57" s="42"/>
      <c r="E57" s="46"/>
      <c r="F57" s="38"/>
      <c r="G57" s="38"/>
      <c r="H57" s="39"/>
    </row>
    <row r="58" spans="1:8" ht="15.75" thickBot="1" x14ac:dyDescent="0.3">
      <c r="A58" s="30"/>
      <c r="B58" s="27"/>
      <c r="C58" s="28"/>
      <c r="D58" s="31"/>
      <c r="E58" s="47"/>
      <c r="F58" s="57"/>
      <c r="G58" s="57"/>
      <c r="H58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8"/>
  <sheetViews>
    <sheetView topLeftCell="A4" workbookViewId="0">
      <selection activeCell="C15" sqref="C15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8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8" ht="18.75" x14ac:dyDescent="0.3">
      <c r="A2" s="19"/>
      <c r="B2" s="24"/>
      <c r="D2" s="19"/>
      <c r="E2" s="19"/>
      <c r="F2" s="55"/>
    </row>
    <row r="3" spans="1:8" ht="18.75" x14ac:dyDescent="0.3">
      <c r="A3" s="20" t="s">
        <v>251</v>
      </c>
      <c r="C3" s="25">
        <v>435</v>
      </c>
      <c r="D3" s="19"/>
      <c r="E3" s="19"/>
      <c r="F3" s="55"/>
    </row>
    <row r="4" spans="1:8" ht="18.75" x14ac:dyDescent="0.3">
      <c r="A4" s="19"/>
      <c r="B4" s="24"/>
      <c r="D4" s="19"/>
      <c r="E4" s="19"/>
      <c r="F4" s="55"/>
    </row>
    <row r="5" spans="1:8" ht="18.75" x14ac:dyDescent="0.3">
      <c r="A5" s="20" t="s">
        <v>256</v>
      </c>
      <c r="C5" s="26" t="str">
        <f>VLOOKUP(C3,'Liste salariés'!A3:G104,2,FALSE)</f>
        <v>RICE Matthew</v>
      </c>
      <c r="D5" s="19"/>
      <c r="E5" s="19"/>
      <c r="F5" s="55"/>
    </row>
    <row r="6" spans="1:8" ht="39.75" customHeight="1" x14ac:dyDescent="0.3">
      <c r="A6" s="20" t="s">
        <v>252</v>
      </c>
      <c r="C6" s="23">
        <f>VLOOKUP(C3,'Liste salariés'!A3:J103,6,FALSE)</f>
        <v>26201</v>
      </c>
      <c r="D6" s="20" t="s">
        <v>253</v>
      </c>
      <c r="E6" s="49">
        <f ca="1">(B1-C6)/365</f>
        <v>54.495890410958907</v>
      </c>
      <c r="F6" s="48"/>
    </row>
    <row r="7" spans="1:8" ht="26.25" customHeight="1" x14ac:dyDescent="0.3">
      <c r="A7" s="20" t="s">
        <v>254</v>
      </c>
      <c r="C7" s="23">
        <f>VLOOKUP(C3,'Liste salariés'!A3:J105,3,FALSE)</f>
        <v>44424</v>
      </c>
      <c r="D7" s="20" t="s">
        <v>255</v>
      </c>
      <c r="E7" s="49">
        <f ca="1">(B1-C7)/365</f>
        <v>4.5698630136986305</v>
      </c>
      <c r="F7" s="48"/>
    </row>
    <row r="8" spans="1:8" x14ac:dyDescent="0.25">
      <c r="B8"/>
    </row>
    <row r="9" spans="1:8" x14ac:dyDescent="0.25">
      <c r="B9"/>
    </row>
    <row r="10" spans="1:8" ht="18.75" x14ac:dyDescent="0.3">
      <c r="A10" s="20" t="s">
        <v>257</v>
      </c>
      <c r="B10"/>
    </row>
    <row r="11" spans="1:8" ht="15.75" thickBot="1" x14ac:dyDescent="0.3"/>
    <row r="12" spans="1:8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8" ht="20.100000000000001" customHeight="1" x14ac:dyDescent="0.25">
      <c r="A13" s="32">
        <v>3015</v>
      </c>
      <c r="B13" s="60" t="s">
        <v>49</v>
      </c>
      <c r="C13" s="33"/>
      <c r="D13" s="44"/>
      <c r="E13" s="45"/>
      <c r="F13" s="34"/>
      <c r="G13" s="34">
        <v>2021</v>
      </c>
      <c r="H13" s="35">
        <v>151.66999999999999</v>
      </c>
    </row>
    <row r="14" spans="1:8" ht="20.100000000000001" customHeight="1" x14ac:dyDescent="0.25">
      <c r="A14" s="36">
        <v>3037</v>
      </c>
      <c r="B14" s="59" t="s">
        <v>29</v>
      </c>
      <c r="C14" s="37"/>
      <c r="D14" s="42"/>
      <c r="E14" s="46"/>
      <c r="F14" s="38"/>
      <c r="G14" s="38">
        <v>2021</v>
      </c>
      <c r="H14" s="39">
        <v>151.66999999999999</v>
      </c>
    </row>
    <row r="15" spans="1:8" ht="20.100000000000001" customHeight="1" x14ac:dyDescent="0.25">
      <c r="A15" s="36">
        <v>3022</v>
      </c>
      <c r="B15" s="59" t="s">
        <v>48</v>
      </c>
      <c r="C15" s="37"/>
      <c r="D15" s="42"/>
      <c r="E15" s="46"/>
      <c r="F15" s="38"/>
      <c r="G15" s="38">
        <v>2023</v>
      </c>
      <c r="H15" s="39">
        <v>151.66999999999999</v>
      </c>
    </row>
    <row r="16" spans="1:8" ht="20.100000000000001" customHeight="1" x14ac:dyDescent="0.25">
      <c r="A16" s="36">
        <v>1009</v>
      </c>
      <c r="B16" s="59" t="s">
        <v>221</v>
      </c>
      <c r="C16" s="37"/>
      <c r="D16" s="42"/>
      <c r="E16" s="46"/>
      <c r="F16" s="38"/>
      <c r="G16" s="38">
        <v>2024</v>
      </c>
      <c r="H16" s="39">
        <v>2</v>
      </c>
    </row>
    <row r="17" spans="1:8" ht="20.100000000000001" customHeight="1" x14ac:dyDescent="0.25">
      <c r="A17" s="36">
        <v>1010</v>
      </c>
      <c r="B17" s="59" t="s">
        <v>222</v>
      </c>
      <c r="C17" s="37"/>
      <c r="D17" s="42"/>
      <c r="E17" s="46"/>
      <c r="F17" s="38"/>
      <c r="G17" s="38">
        <v>2024</v>
      </c>
      <c r="H17" s="39">
        <v>2</v>
      </c>
    </row>
    <row r="18" spans="1:8" ht="20.100000000000001" customHeight="1" x14ac:dyDescent="0.25">
      <c r="A18" s="36">
        <v>3037</v>
      </c>
      <c r="B18" s="59" t="s">
        <v>29</v>
      </c>
      <c r="C18" s="37"/>
      <c r="D18" s="42"/>
      <c r="E18" s="46"/>
      <c r="F18" s="38"/>
      <c r="G18" s="38">
        <v>2024</v>
      </c>
      <c r="H18" s="39">
        <v>151.66999999999999</v>
      </c>
    </row>
    <row r="19" spans="1:8" ht="20.100000000000001" customHeight="1" x14ac:dyDescent="0.25">
      <c r="A19" s="36"/>
      <c r="B19" s="59"/>
      <c r="C19" s="37"/>
      <c r="D19" s="42"/>
      <c r="E19" s="46"/>
      <c r="F19" s="38"/>
      <c r="G19" s="38"/>
      <c r="H19" s="39"/>
    </row>
    <row r="20" spans="1:8" ht="20.100000000000001" customHeight="1" x14ac:dyDescent="0.25">
      <c r="A20" s="36"/>
      <c r="B20" s="59"/>
      <c r="C20" s="37"/>
      <c r="D20" s="42"/>
      <c r="E20" s="46"/>
      <c r="F20" s="38"/>
      <c r="G20" s="38"/>
      <c r="H20" s="39"/>
    </row>
    <row r="21" spans="1:8" ht="20.100000000000001" customHeight="1" x14ac:dyDescent="0.25">
      <c r="A21" s="36"/>
      <c r="B21" s="59"/>
      <c r="C21" s="37"/>
      <c r="D21" s="42"/>
      <c r="E21" s="46"/>
      <c r="F21" s="38"/>
      <c r="G21" s="38"/>
      <c r="H21" s="39"/>
    </row>
    <row r="22" spans="1:8" ht="20.100000000000001" customHeight="1" x14ac:dyDescent="0.25">
      <c r="A22" s="36"/>
      <c r="B22" s="59"/>
      <c r="C22" s="37"/>
      <c r="D22" s="42"/>
      <c r="E22" s="46"/>
      <c r="F22" s="38"/>
      <c r="G22" s="38"/>
      <c r="H22" s="39"/>
    </row>
    <row r="23" spans="1:8" ht="20.100000000000001" customHeight="1" x14ac:dyDescent="0.25">
      <c r="A23" s="36"/>
      <c r="B23" s="59"/>
      <c r="C23" s="37"/>
      <c r="D23" s="42"/>
      <c r="E23" s="46"/>
      <c r="F23" s="38"/>
      <c r="G23" s="38"/>
      <c r="H23" s="39"/>
    </row>
    <row r="24" spans="1:8" ht="20.100000000000001" customHeight="1" x14ac:dyDescent="0.25">
      <c r="A24" s="36"/>
      <c r="B24" s="59"/>
      <c r="C24" s="37"/>
      <c r="D24" s="42"/>
      <c r="E24" s="46"/>
      <c r="F24" s="38"/>
      <c r="G24" s="38"/>
      <c r="H24" s="39"/>
    </row>
    <row r="25" spans="1:8" ht="20.100000000000001" customHeight="1" x14ac:dyDescent="0.25">
      <c r="A25" s="36"/>
      <c r="B25" s="59"/>
      <c r="C25" s="37"/>
      <c r="D25" s="42"/>
      <c r="E25" s="46"/>
      <c r="F25" s="38"/>
      <c r="G25" s="38"/>
      <c r="H25" s="39"/>
    </row>
    <row r="26" spans="1:8" ht="20.100000000000001" customHeight="1" x14ac:dyDescent="0.25">
      <c r="A26" s="36"/>
      <c r="B26" s="59"/>
      <c r="C26" s="37"/>
      <c r="D26" s="42"/>
      <c r="E26" s="46"/>
      <c r="F26" s="38"/>
      <c r="G26" s="38"/>
      <c r="H26" s="39"/>
    </row>
    <row r="27" spans="1:8" ht="20.100000000000001" customHeight="1" x14ac:dyDescent="0.25">
      <c r="A27" s="36"/>
      <c r="B27" s="59"/>
      <c r="C27" s="37"/>
      <c r="D27" s="42"/>
      <c r="E27" s="46"/>
      <c r="F27" s="38"/>
      <c r="G27" s="38"/>
      <c r="H27" s="39"/>
    </row>
    <row r="28" spans="1:8" ht="20.100000000000001" customHeight="1" x14ac:dyDescent="0.25">
      <c r="A28" s="36"/>
      <c r="B28" s="59"/>
      <c r="C28" s="37"/>
      <c r="D28" s="42"/>
      <c r="E28" s="46"/>
      <c r="F28" s="38"/>
      <c r="G28" s="38"/>
      <c r="H28" s="39"/>
    </row>
    <row r="29" spans="1:8" ht="20.100000000000001" customHeight="1" x14ac:dyDescent="0.25">
      <c r="A29" s="36"/>
      <c r="B29" s="59"/>
      <c r="C29" s="37"/>
      <c r="D29" s="42"/>
      <c r="E29" s="46"/>
      <c r="F29" s="38"/>
      <c r="G29" s="38"/>
      <c r="H29" s="39"/>
    </row>
    <row r="30" spans="1:8" ht="20.100000000000001" customHeight="1" x14ac:dyDescent="0.25">
      <c r="A30" s="36"/>
      <c r="B30" s="59"/>
      <c r="C30" s="37"/>
      <c r="D30" s="42"/>
      <c r="E30" s="46"/>
      <c r="F30" s="38"/>
      <c r="G30" s="38"/>
      <c r="H30" s="39"/>
    </row>
    <row r="31" spans="1:8" ht="20.100000000000001" customHeight="1" x14ac:dyDescent="0.25">
      <c r="A31" s="36"/>
      <c r="B31" s="59"/>
      <c r="C31" s="37"/>
      <c r="D31" s="42"/>
      <c r="E31" s="46"/>
      <c r="F31" s="38"/>
      <c r="G31" s="38"/>
      <c r="H31" s="39"/>
    </row>
    <row r="32" spans="1:8" ht="20.100000000000001" customHeight="1" x14ac:dyDescent="0.25">
      <c r="A32" s="36"/>
      <c r="B32" s="59"/>
      <c r="C32" s="37"/>
      <c r="D32" s="42"/>
      <c r="E32" s="46"/>
      <c r="F32" s="38"/>
      <c r="G32" s="38"/>
      <c r="H32" s="39"/>
    </row>
    <row r="33" spans="1:8" ht="20.100000000000001" customHeight="1" x14ac:dyDescent="0.25">
      <c r="A33" s="36"/>
      <c r="B33" s="37"/>
      <c r="C33" s="37"/>
      <c r="D33" s="42"/>
      <c r="E33" s="46"/>
      <c r="F33" s="38"/>
      <c r="G33" s="38"/>
      <c r="H33" s="39"/>
    </row>
    <row r="34" spans="1:8" ht="20.100000000000001" customHeight="1" x14ac:dyDescent="0.25">
      <c r="A34" s="36"/>
      <c r="B34" s="37"/>
      <c r="C34" s="37"/>
      <c r="D34" s="42"/>
      <c r="E34" s="46"/>
      <c r="F34" s="38"/>
      <c r="G34" s="38"/>
      <c r="H34" s="39"/>
    </row>
    <row r="35" spans="1:8" ht="20.100000000000001" customHeight="1" x14ac:dyDescent="0.25">
      <c r="A35" s="36"/>
      <c r="B35" s="37"/>
      <c r="C35" s="37"/>
      <c r="D35" s="42"/>
      <c r="E35" s="46"/>
      <c r="F35" s="38"/>
      <c r="G35" s="38"/>
      <c r="H35" s="39"/>
    </row>
    <row r="36" spans="1:8" ht="20.100000000000001" customHeight="1" x14ac:dyDescent="0.25">
      <c r="A36" s="36"/>
      <c r="B36" s="37"/>
      <c r="C36" s="37"/>
      <c r="D36" s="42"/>
      <c r="E36" s="46"/>
      <c r="F36" s="38"/>
      <c r="G36" s="38"/>
      <c r="H36" s="39"/>
    </row>
    <row r="37" spans="1:8" x14ac:dyDescent="0.25">
      <c r="A37" s="40"/>
      <c r="B37" s="41"/>
      <c r="C37" s="37"/>
      <c r="D37" s="42"/>
      <c r="E37" s="46"/>
      <c r="F37" s="38"/>
      <c r="G37" s="38"/>
      <c r="H37" s="39"/>
    </row>
    <row r="38" spans="1:8" x14ac:dyDescent="0.25">
      <c r="A38" s="40"/>
      <c r="B38" s="41"/>
      <c r="C38" s="37"/>
      <c r="D38" s="42"/>
      <c r="E38" s="46"/>
      <c r="F38" s="56"/>
      <c r="G38" s="38"/>
      <c r="H38" s="39"/>
    </row>
    <row r="39" spans="1:8" x14ac:dyDescent="0.25">
      <c r="A39" s="40"/>
      <c r="B39" s="41"/>
      <c r="C39" s="37"/>
      <c r="D39" s="42"/>
      <c r="E39" s="46"/>
      <c r="F39" s="38"/>
      <c r="G39" s="38"/>
      <c r="H39" s="39"/>
    </row>
    <row r="40" spans="1:8" x14ac:dyDescent="0.25">
      <c r="A40" s="40"/>
      <c r="B40" s="41"/>
      <c r="C40" s="37"/>
      <c r="D40" s="42"/>
      <c r="E40" s="46"/>
      <c r="F40" s="38"/>
      <c r="G40" s="38"/>
      <c r="H40" s="39"/>
    </row>
    <row r="41" spans="1:8" x14ac:dyDescent="0.25">
      <c r="A41" s="40"/>
      <c r="B41" s="41"/>
      <c r="C41" s="37"/>
      <c r="D41" s="42"/>
      <c r="E41" s="46"/>
      <c r="F41" s="38"/>
      <c r="G41" s="38"/>
      <c r="H41" s="39"/>
    </row>
    <row r="42" spans="1:8" x14ac:dyDescent="0.25">
      <c r="A42" s="40"/>
      <c r="B42" s="41"/>
      <c r="C42" s="37"/>
      <c r="D42" s="42"/>
      <c r="E42" s="46"/>
      <c r="F42" s="38"/>
      <c r="G42" s="38"/>
      <c r="H42" s="39"/>
    </row>
    <row r="43" spans="1:8" x14ac:dyDescent="0.25">
      <c r="A43" s="40"/>
      <c r="B43" s="41"/>
      <c r="C43" s="37"/>
      <c r="D43" s="42"/>
      <c r="E43" s="46"/>
      <c r="F43" s="38"/>
      <c r="G43" s="38"/>
      <c r="H43" s="39"/>
    </row>
    <row r="44" spans="1:8" x14ac:dyDescent="0.25">
      <c r="A44" s="40"/>
      <c r="B44" s="41"/>
      <c r="C44" s="37"/>
      <c r="D44" s="42"/>
      <c r="E44" s="46"/>
      <c r="F44" s="38"/>
      <c r="G44" s="38"/>
      <c r="H44" s="39"/>
    </row>
    <row r="45" spans="1:8" x14ac:dyDescent="0.25">
      <c r="A45" s="40"/>
      <c r="B45" s="41"/>
      <c r="C45" s="37"/>
      <c r="D45" s="42"/>
      <c r="E45" s="46"/>
      <c r="F45" s="38"/>
      <c r="G45" s="38"/>
      <c r="H45" s="39"/>
    </row>
    <row r="46" spans="1:8" x14ac:dyDescent="0.25">
      <c r="A46" s="40"/>
      <c r="B46" s="41"/>
      <c r="C46" s="37"/>
      <c r="D46" s="42"/>
      <c r="E46" s="46"/>
      <c r="F46" s="38"/>
      <c r="G46" s="38"/>
      <c r="H46" s="39"/>
    </row>
    <row r="47" spans="1:8" x14ac:dyDescent="0.25">
      <c r="A47" s="40"/>
      <c r="B47" s="41"/>
      <c r="C47" s="37"/>
      <c r="D47" s="42"/>
      <c r="E47" s="46"/>
      <c r="F47" s="38"/>
      <c r="G47" s="38"/>
      <c r="H47" s="39"/>
    </row>
    <row r="48" spans="1:8" x14ac:dyDescent="0.25">
      <c r="A48" s="40"/>
      <c r="B48" s="41"/>
      <c r="C48" s="37"/>
      <c r="D48" s="42"/>
      <c r="E48" s="46"/>
      <c r="F48" s="38"/>
      <c r="G48" s="38"/>
      <c r="H48" s="39"/>
    </row>
    <row r="49" spans="1:8" x14ac:dyDescent="0.25">
      <c r="A49" s="40"/>
      <c r="B49" s="41"/>
      <c r="C49" s="37"/>
      <c r="D49" s="42"/>
      <c r="E49" s="46"/>
      <c r="F49" s="38"/>
      <c r="G49" s="38"/>
      <c r="H49" s="39"/>
    </row>
    <row r="50" spans="1:8" x14ac:dyDescent="0.25">
      <c r="A50" s="40"/>
      <c r="B50" s="41"/>
      <c r="C50" s="37"/>
      <c r="D50" s="42"/>
      <c r="E50" s="46"/>
      <c r="F50" s="38"/>
      <c r="G50" s="38"/>
      <c r="H50" s="39"/>
    </row>
    <row r="51" spans="1:8" x14ac:dyDescent="0.25">
      <c r="A51" s="40"/>
      <c r="B51" s="41"/>
      <c r="C51" s="37"/>
      <c r="D51" s="42"/>
      <c r="E51" s="46"/>
      <c r="F51" s="38"/>
      <c r="G51" s="38"/>
      <c r="H51" s="39"/>
    </row>
    <row r="52" spans="1:8" x14ac:dyDescent="0.25">
      <c r="A52" s="40"/>
      <c r="B52" s="41"/>
      <c r="C52" s="37"/>
      <c r="D52" s="42"/>
      <c r="E52" s="46"/>
      <c r="F52" s="38"/>
      <c r="G52" s="38"/>
      <c r="H52" s="39"/>
    </row>
    <row r="53" spans="1:8" x14ac:dyDescent="0.25">
      <c r="A53" s="40"/>
      <c r="B53" s="41"/>
      <c r="C53" s="37"/>
      <c r="D53" s="42"/>
      <c r="E53" s="46"/>
      <c r="F53" s="38"/>
      <c r="G53" s="38"/>
      <c r="H53" s="39"/>
    </row>
    <row r="54" spans="1:8" x14ac:dyDescent="0.25">
      <c r="A54" s="40"/>
      <c r="B54" s="41"/>
      <c r="C54" s="37"/>
      <c r="D54" s="42"/>
      <c r="E54" s="46"/>
      <c r="F54" s="38"/>
      <c r="G54" s="38"/>
      <c r="H54" s="39"/>
    </row>
    <row r="55" spans="1:8" x14ac:dyDescent="0.25">
      <c r="A55" s="40"/>
      <c r="B55" s="41"/>
      <c r="C55" s="37"/>
      <c r="D55" s="42"/>
      <c r="E55" s="46"/>
      <c r="F55" s="38"/>
      <c r="G55" s="38"/>
      <c r="H55" s="39"/>
    </row>
    <row r="56" spans="1:8" x14ac:dyDescent="0.25">
      <c r="A56" s="40"/>
      <c r="B56" s="41"/>
      <c r="C56" s="37"/>
      <c r="D56" s="42"/>
      <c r="E56" s="46"/>
      <c r="F56" s="38"/>
      <c r="G56" s="38"/>
      <c r="H56" s="39"/>
    </row>
    <row r="57" spans="1:8" x14ac:dyDescent="0.25">
      <c r="A57" s="40"/>
      <c r="B57" s="41"/>
      <c r="C57" s="37"/>
      <c r="D57" s="42"/>
      <c r="E57" s="46"/>
      <c r="F57" s="38"/>
      <c r="G57" s="38"/>
      <c r="H57" s="39"/>
    </row>
    <row r="58" spans="1:8" ht="15.75" thickBot="1" x14ac:dyDescent="0.3">
      <c r="A58" s="30"/>
      <c r="B58" s="27"/>
      <c r="C58" s="28"/>
      <c r="D58" s="31"/>
      <c r="E58" s="47"/>
      <c r="F58" s="57"/>
      <c r="G58" s="57"/>
      <c r="H58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8"/>
  <sheetViews>
    <sheetView workbookViewId="0">
      <selection activeCell="D18" sqref="D18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8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8" ht="18.75" x14ac:dyDescent="0.3">
      <c r="A2" s="19"/>
      <c r="B2" s="24"/>
      <c r="D2" s="19"/>
      <c r="E2" s="19"/>
      <c r="F2" s="55"/>
    </row>
    <row r="3" spans="1:8" ht="18.75" x14ac:dyDescent="0.3">
      <c r="A3" s="20" t="s">
        <v>251</v>
      </c>
      <c r="C3" s="25">
        <v>414</v>
      </c>
      <c r="D3" s="19"/>
      <c r="E3" s="19"/>
      <c r="F3" s="55"/>
    </row>
    <row r="4" spans="1:8" ht="18.75" x14ac:dyDescent="0.3">
      <c r="A4" s="19"/>
      <c r="B4" s="24"/>
      <c r="D4" s="19"/>
      <c r="E4" s="19"/>
      <c r="F4" s="55"/>
    </row>
    <row r="5" spans="1:8" ht="18.75" x14ac:dyDescent="0.3">
      <c r="A5" s="20" t="s">
        <v>256</v>
      </c>
      <c r="C5" s="26" t="str">
        <f>VLOOKUP(C3,'Liste salariés'!A3:G104,2,FALSE)</f>
        <v>GONOT Damien</v>
      </c>
      <c r="D5" s="19"/>
      <c r="E5" s="19"/>
      <c r="F5" s="55"/>
    </row>
    <row r="6" spans="1:8" ht="39.75" customHeight="1" x14ac:dyDescent="0.3">
      <c r="A6" s="20" t="s">
        <v>252</v>
      </c>
      <c r="C6" s="23">
        <f>VLOOKUP(C3,'Liste salariés'!A3:J103,6,FALSE)</f>
        <v>36319</v>
      </c>
      <c r="D6" s="20" t="s">
        <v>253</v>
      </c>
      <c r="E6" s="49">
        <f ca="1">(B1-C6)/365</f>
        <v>26.775342465753425</v>
      </c>
      <c r="F6" s="48"/>
    </row>
    <row r="7" spans="1:8" ht="26.25" customHeight="1" x14ac:dyDescent="0.3">
      <c r="A7" s="20" t="s">
        <v>254</v>
      </c>
      <c r="C7" s="23">
        <f>VLOOKUP(C3,'Liste salariés'!A3:J105,3,FALSE)</f>
        <v>44158</v>
      </c>
      <c r="D7" s="20" t="s">
        <v>255</v>
      </c>
      <c r="E7" s="49">
        <f ca="1">(B1-C7)/365</f>
        <v>5.2986301369863016</v>
      </c>
      <c r="F7" s="48"/>
    </row>
    <row r="8" spans="1:8" x14ac:dyDescent="0.25">
      <c r="B8"/>
    </row>
    <row r="9" spans="1:8" x14ac:dyDescent="0.25">
      <c r="B9"/>
    </row>
    <row r="10" spans="1:8" ht="18.75" x14ac:dyDescent="0.3">
      <c r="A10" s="20" t="s">
        <v>257</v>
      </c>
      <c r="B10"/>
    </row>
    <row r="11" spans="1:8" ht="15.75" thickBot="1" x14ac:dyDescent="0.3"/>
    <row r="12" spans="1:8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8" ht="20.100000000000001" customHeight="1" x14ac:dyDescent="0.25">
      <c r="A13" s="32">
        <v>3038</v>
      </c>
      <c r="B13" s="60" t="s">
        <v>41</v>
      </c>
      <c r="C13" s="33"/>
      <c r="D13" s="44"/>
      <c r="E13" s="45"/>
      <c r="F13" s="34"/>
      <c r="G13" s="34">
        <v>2020</v>
      </c>
      <c r="H13" s="35">
        <v>120</v>
      </c>
    </row>
    <row r="14" spans="1:8" ht="20.100000000000001" customHeight="1" x14ac:dyDescent="0.25">
      <c r="A14" s="36">
        <v>1004</v>
      </c>
      <c r="B14" s="59" t="s">
        <v>206</v>
      </c>
      <c r="C14" s="37"/>
      <c r="D14" s="42"/>
      <c r="E14" s="46"/>
      <c r="F14" s="38"/>
      <c r="G14" s="38">
        <v>2021</v>
      </c>
      <c r="H14" s="39">
        <v>7</v>
      </c>
    </row>
    <row r="15" spans="1:8" ht="20.100000000000001" customHeight="1" x14ac:dyDescent="0.25">
      <c r="A15" s="36">
        <v>3013</v>
      </c>
      <c r="B15" s="59" t="s">
        <v>45</v>
      </c>
      <c r="C15" s="37"/>
      <c r="D15" s="42"/>
      <c r="E15" s="46"/>
      <c r="F15" s="38"/>
      <c r="G15" s="38">
        <v>2021</v>
      </c>
      <c r="H15" s="39">
        <v>396.67</v>
      </c>
    </row>
    <row r="16" spans="1:8" ht="20.100000000000001" customHeight="1" x14ac:dyDescent="0.25">
      <c r="A16" s="36">
        <v>3018</v>
      </c>
      <c r="B16" s="59" t="s">
        <v>37</v>
      </c>
      <c r="C16" s="37"/>
      <c r="D16" s="42"/>
      <c r="E16" s="46"/>
      <c r="F16" s="38"/>
      <c r="G16" s="38">
        <v>2021</v>
      </c>
      <c r="H16" s="39">
        <v>151.66999999999999</v>
      </c>
    </row>
    <row r="17" spans="1:8" ht="20.100000000000001" customHeight="1" x14ac:dyDescent="0.25">
      <c r="A17" s="36">
        <v>3023</v>
      </c>
      <c r="B17" s="59" t="s">
        <v>54</v>
      </c>
      <c r="C17" s="37"/>
      <c r="D17" s="42"/>
      <c r="E17" s="46"/>
      <c r="F17" s="38"/>
      <c r="G17" s="38">
        <v>2021</v>
      </c>
      <c r="H17" s="39">
        <v>151.66999999999999</v>
      </c>
    </row>
    <row r="18" spans="1:8" ht="20.100000000000001" customHeight="1" x14ac:dyDescent="0.25">
      <c r="A18" s="36">
        <v>3038</v>
      </c>
      <c r="B18" s="59" t="s">
        <v>41</v>
      </c>
      <c r="C18" s="37"/>
      <c r="D18" s="42"/>
      <c r="E18" s="46"/>
      <c r="F18" s="38"/>
      <c r="G18" s="38">
        <v>2021</v>
      </c>
      <c r="H18" s="39">
        <v>151.66999999999999</v>
      </c>
    </row>
    <row r="19" spans="1:8" ht="20.100000000000001" customHeight="1" x14ac:dyDescent="0.25">
      <c r="A19" s="36">
        <v>3001</v>
      </c>
      <c r="B19" s="59" t="s">
        <v>23</v>
      </c>
      <c r="C19" s="37"/>
      <c r="D19" s="42"/>
      <c r="E19" s="46"/>
      <c r="F19" s="38"/>
      <c r="G19" s="38">
        <v>2022</v>
      </c>
      <c r="H19" s="39">
        <v>151.66999999999999</v>
      </c>
    </row>
    <row r="20" spans="1:8" ht="20.100000000000001" customHeight="1" x14ac:dyDescent="0.25">
      <c r="A20" s="36">
        <v>3024</v>
      </c>
      <c r="B20" s="59" t="s">
        <v>46</v>
      </c>
      <c r="C20" s="37"/>
      <c r="D20" s="42"/>
      <c r="E20" s="46"/>
      <c r="F20" s="38"/>
      <c r="G20" s="38">
        <v>2022</v>
      </c>
      <c r="H20" s="39">
        <v>151.66999999999999</v>
      </c>
    </row>
    <row r="21" spans="1:8" ht="20.100000000000001" customHeight="1" x14ac:dyDescent="0.25">
      <c r="A21" s="36">
        <v>1002</v>
      </c>
      <c r="B21" s="59" t="s">
        <v>204</v>
      </c>
      <c r="C21" s="37"/>
      <c r="D21" s="42"/>
      <c r="E21" s="46"/>
      <c r="F21" s="38"/>
      <c r="G21" s="38">
        <v>2023</v>
      </c>
      <c r="H21" s="39">
        <v>14</v>
      </c>
    </row>
    <row r="22" spans="1:8" ht="20.100000000000001" customHeight="1" x14ac:dyDescent="0.25">
      <c r="A22" s="36">
        <v>1012</v>
      </c>
      <c r="B22" s="59" t="s">
        <v>242</v>
      </c>
      <c r="C22" s="37"/>
      <c r="D22" s="42"/>
      <c r="E22" s="46"/>
      <c r="F22" s="38"/>
      <c r="G22" s="38">
        <v>2023</v>
      </c>
      <c r="H22" s="39">
        <v>3.5</v>
      </c>
    </row>
    <row r="23" spans="1:8" ht="20.100000000000001" customHeight="1" x14ac:dyDescent="0.25">
      <c r="A23" s="36">
        <v>1014</v>
      </c>
      <c r="B23" s="59" t="s">
        <v>161</v>
      </c>
      <c r="C23" s="37"/>
      <c r="D23" s="42"/>
      <c r="E23" s="46"/>
      <c r="F23" s="38"/>
      <c r="G23" s="38">
        <v>2023</v>
      </c>
      <c r="H23" s="39">
        <v>35</v>
      </c>
    </row>
    <row r="24" spans="1:8" ht="20.100000000000001" customHeight="1" x14ac:dyDescent="0.25">
      <c r="A24" s="36">
        <v>3039</v>
      </c>
      <c r="B24" s="59" t="s">
        <v>28</v>
      </c>
      <c r="C24" s="37"/>
      <c r="D24" s="42"/>
      <c r="E24" s="46"/>
      <c r="F24" s="38"/>
      <c r="G24" s="38">
        <v>2023</v>
      </c>
      <c r="H24" s="39">
        <v>151.66999999999999</v>
      </c>
    </row>
    <row r="25" spans="1:8" ht="20.100000000000001" customHeight="1" x14ac:dyDescent="0.25">
      <c r="A25" s="36">
        <v>3042</v>
      </c>
      <c r="B25" s="59" t="s">
        <v>52</v>
      </c>
      <c r="C25" s="37"/>
      <c r="D25" s="42"/>
      <c r="E25" s="46"/>
      <c r="F25" s="38"/>
      <c r="G25" s="38">
        <v>2023</v>
      </c>
      <c r="H25" s="39">
        <v>151.66999999999999</v>
      </c>
    </row>
    <row r="26" spans="1:8" ht="20.100000000000001" customHeight="1" x14ac:dyDescent="0.25">
      <c r="A26" s="36">
        <v>3043</v>
      </c>
      <c r="B26" s="59" t="s">
        <v>44</v>
      </c>
      <c r="C26" s="37"/>
      <c r="D26" s="42"/>
      <c r="E26" s="46"/>
      <c r="F26" s="38"/>
      <c r="G26" s="38">
        <v>2023</v>
      </c>
      <c r="H26" s="39">
        <v>151.66999999999999</v>
      </c>
    </row>
    <row r="27" spans="1:8" ht="20.100000000000001" customHeight="1" x14ac:dyDescent="0.25">
      <c r="A27" s="36">
        <v>1009</v>
      </c>
      <c r="B27" s="59" t="s">
        <v>221</v>
      </c>
      <c r="C27" s="37"/>
      <c r="D27" s="42"/>
      <c r="E27" s="46"/>
      <c r="F27" s="38"/>
      <c r="G27" s="38">
        <v>2024</v>
      </c>
      <c r="H27" s="39">
        <v>2</v>
      </c>
    </row>
    <row r="28" spans="1:8" ht="20.100000000000001" customHeight="1" x14ac:dyDescent="0.25">
      <c r="A28" s="36">
        <v>1010</v>
      </c>
      <c r="B28" s="59" t="s">
        <v>222</v>
      </c>
      <c r="C28" s="37"/>
      <c r="D28" s="42"/>
      <c r="E28" s="46"/>
      <c r="F28" s="38"/>
      <c r="G28" s="38">
        <v>2024</v>
      </c>
      <c r="H28" s="39">
        <v>2</v>
      </c>
    </row>
    <row r="29" spans="1:8" ht="20.100000000000001" customHeight="1" x14ac:dyDescent="0.25">
      <c r="A29" s="36">
        <v>1016</v>
      </c>
      <c r="B29" s="59" t="s">
        <v>207</v>
      </c>
      <c r="C29" s="37"/>
      <c r="D29" s="42"/>
      <c r="E29" s="46"/>
      <c r="F29" s="38"/>
      <c r="G29" s="38">
        <v>2024</v>
      </c>
      <c r="H29" s="39">
        <v>14</v>
      </c>
    </row>
    <row r="30" spans="1:8" ht="20.100000000000001" customHeight="1" x14ac:dyDescent="0.25">
      <c r="A30" s="36">
        <v>1033</v>
      </c>
      <c r="B30" s="59" t="s">
        <v>248</v>
      </c>
      <c r="C30" s="37"/>
      <c r="D30" s="42"/>
      <c r="E30" s="46"/>
      <c r="F30" s="38"/>
      <c r="G30" s="38">
        <v>2024</v>
      </c>
      <c r="H30" s="39">
        <v>1.5</v>
      </c>
    </row>
    <row r="31" spans="1:8" ht="20.100000000000001" customHeight="1" x14ac:dyDescent="0.25">
      <c r="A31" s="36">
        <v>1006</v>
      </c>
      <c r="B31" s="59" t="s">
        <v>150</v>
      </c>
      <c r="C31" s="37"/>
      <c r="D31" s="42"/>
      <c r="E31" s="46"/>
      <c r="F31" s="38"/>
      <c r="G31" s="38">
        <v>2024</v>
      </c>
      <c r="H31" s="39">
        <v>14</v>
      </c>
    </row>
    <row r="32" spans="1:8" ht="20.100000000000001" customHeight="1" x14ac:dyDescent="0.25">
      <c r="A32" s="36"/>
      <c r="B32" s="59"/>
      <c r="C32" s="37"/>
      <c r="D32" s="42"/>
      <c r="E32" s="46"/>
      <c r="F32" s="38"/>
      <c r="G32" s="38"/>
      <c r="H32" s="39"/>
    </row>
    <row r="33" spans="1:8" ht="20.100000000000001" customHeight="1" x14ac:dyDescent="0.25">
      <c r="A33" s="36"/>
      <c r="B33" s="37"/>
      <c r="C33" s="37"/>
      <c r="D33" s="42"/>
      <c r="E33" s="46"/>
      <c r="F33" s="38"/>
      <c r="G33" s="38"/>
      <c r="H33" s="39"/>
    </row>
    <row r="34" spans="1:8" ht="20.100000000000001" customHeight="1" x14ac:dyDescent="0.25">
      <c r="A34" s="36"/>
      <c r="B34" s="37"/>
      <c r="C34" s="37"/>
      <c r="D34" s="42"/>
      <c r="E34" s="46"/>
      <c r="F34" s="38"/>
      <c r="G34" s="38"/>
      <c r="H34" s="39"/>
    </row>
    <row r="35" spans="1:8" ht="20.100000000000001" customHeight="1" x14ac:dyDescent="0.25">
      <c r="A35" s="36"/>
      <c r="B35" s="37"/>
      <c r="C35" s="37"/>
      <c r="D35" s="42"/>
      <c r="E35" s="46"/>
      <c r="F35" s="38"/>
      <c r="G35" s="38"/>
      <c r="H35" s="39"/>
    </row>
    <row r="36" spans="1:8" ht="20.100000000000001" customHeight="1" x14ac:dyDescent="0.25">
      <c r="A36" s="36"/>
      <c r="B36" s="37"/>
      <c r="C36" s="37"/>
      <c r="D36" s="42"/>
      <c r="E36" s="46"/>
      <c r="F36" s="38"/>
      <c r="G36" s="38"/>
      <c r="H36" s="39"/>
    </row>
    <row r="37" spans="1:8" x14ac:dyDescent="0.25">
      <c r="A37" s="40"/>
      <c r="B37" s="41"/>
      <c r="C37" s="37"/>
      <c r="D37" s="42"/>
      <c r="E37" s="46"/>
      <c r="F37" s="38"/>
      <c r="G37" s="38"/>
      <c r="H37" s="39"/>
    </row>
    <row r="38" spans="1:8" x14ac:dyDescent="0.25">
      <c r="A38" s="40"/>
      <c r="B38" s="41"/>
      <c r="C38" s="37"/>
      <c r="D38" s="42"/>
      <c r="E38" s="46"/>
      <c r="F38" s="56"/>
      <c r="G38" s="38"/>
      <c r="H38" s="39"/>
    </row>
    <row r="39" spans="1:8" x14ac:dyDescent="0.25">
      <c r="A39" s="40"/>
      <c r="B39" s="41"/>
      <c r="C39" s="37"/>
      <c r="D39" s="42"/>
      <c r="E39" s="46"/>
      <c r="F39" s="38"/>
      <c r="G39" s="38"/>
      <c r="H39" s="39"/>
    </row>
    <row r="40" spans="1:8" x14ac:dyDescent="0.25">
      <c r="A40" s="40"/>
      <c r="B40" s="41"/>
      <c r="C40" s="37"/>
      <c r="D40" s="42"/>
      <c r="E40" s="46"/>
      <c r="F40" s="38"/>
      <c r="G40" s="38"/>
      <c r="H40" s="39"/>
    </row>
    <row r="41" spans="1:8" x14ac:dyDescent="0.25">
      <c r="A41" s="40"/>
      <c r="B41" s="41"/>
      <c r="C41" s="37"/>
      <c r="D41" s="42"/>
      <c r="E41" s="46"/>
      <c r="F41" s="38"/>
      <c r="G41" s="38"/>
      <c r="H41" s="39"/>
    </row>
    <row r="42" spans="1:8" x14ac:dyDescent="0.25">
      <c r="A42" s="40"/>
      <c r="B42" s="41"/>
      <c r="C42" s="37"/>
      <c r="D42" s="42"/>
      <c r="E42" s="46"/>
      <c r="F42" s="38"/>
      <c r="G42" s="38"/>
      <c r="H42" s="39"/>
    </row>
    <row r="43" spans="1:8" x14ac:dyDescent="0.25">
      <c r="A43" s="40"/>
      <c r="B43" s="41"/>
      <c r="C43" s="37"/>
      <c r="D43" s="42"/>
      <c r="E43" s="46"/>
      <c r="F43" s="38"/>
      <c r="G43" s="38"/>
      <c r="H43" s="39"/>
    </row>
    <row r="44" spans="1:8" x14ac:dyDescent="0.25">
      <c r="A44" s="40"/>
      <c r="B44" s="41"/>
      <c r="C44" s="37"/>
      <c r="D44" s="42"/>
      <c r="E44" s="46"/>
      <c r="F44" s="38"/>
      <c r="G44" s="38"/>
      <c r="H44" s="39"/>
    </row>
    <row r="45" spans="1:8" x14ac:dyDescent="0.25">
      <c r="A45" s="40"/>
      <c r="B45" s="41"/>
      <c r="C45" s="37"/>
      <c r="D45" s="42"/>
      <c r="E45" s="46"/>
      <c r="F45" s="38"/>
      <c r="G45" s="38"/>
      <c r="H45" s="39"/>
    </row>
    <row r="46" spans="1:8" x14ac:dyDescent="0.25">
      <c r="A46" s="40"/>
      <c r="B46" s="41"/>
      <c r="C46" s="37"/>
      <c r="D46" s="42"/>
      <c r="E46" s="46"/>
      <c r="F46" s="38"/>
      <c r="G46" s="38"/>
      <c r="H46" s="39"/>
    </row>
    <row r="47" spans="1:8" x14ac:dyDescent="0.25">
      <c r="A47" s="40"/>
      <c r="B47" s="41"/>
      <c r="C47" s="37"/>
      <c r="D47" s="42"/>
      <c r="E47" s="46"/>
      <c r="F47" s="38"/>
      <c r="G47" s="38"/>
      <c r="H47" s="39"/>
    </row>
    <row r="48" spans="1:8" x14ac:dyDescent="0.25">
      <c r="A48" s="40"/>
      <c r="B48" s="41"/>
      <c r="C48" s="37"/>
      <c r="D48" s="42"/>
      <c r="E48" s="46"/>
      <c r="F48" s="38"/>
      <c r="G48" s="38"/>
      <c r="H48" s="39"/>
    </row>
    <row r="49" spans="1:8" x14ac:dyDescent="0.25">
      <c r="A49" s="40"/>
      <c r="B49" s="41"/>
      <c r="C49" s="37"/>
      <c r="D49" s="42"/>
      <c r="E49" s="46"/>
      <c r="F49" s="38"/>
      <c r="G49" s="38"/>
      <c r="H49" s="39"/>
    </row>
    <row r="50" spans="1:8" x14ac:dyDescent="0.25">
      <c r="A50" s="40"/>
      <c r="B50" s="41"/>
      <c r="C50" s="37"/>
      <c r="D50" s="42"/>
      <c r="E50" s="46"/>
      <c r="F50" s="38"/>
      <c r="G50" s="38"/>
      <c r="H50" s="39"/>
    </row>
    <row r="51" spans="1:8" x14ac:dyDescent="0.25">
      <c r="A51" s="40"/>
      <c r="B51" s="41"/>
      <c r="C51" s="37"/>
      <c r="D51" s="42"/>
      <c r="E51" s="46"/>
      <c r="F51" s="38"/>
      <c r="G51" s="38"/>
      <c r="H51" s="39"/>
    </row>
    <row r="52" spans="1:8" x14ac:dyDescent="0.25">
      <c r="A52" s="40"/>
      <c r="B52" s="41"/>
      <c r="C52" s="37"/>
      <c r="D52" s="42"/>
      <c r="E52" s="46"/>
      <c r="F52" s="38"/>
      <c r="G52" s="38"/>
      <c r="H52" s="39"/>
    </row>
    <row r="53" spans="1:8" x14ac:dyDescent="0.25">
      <c r="A53" s="40"/>
      <c r="B53" s="41"/>
      <c r="C53" s="37"/>
      <c r="D53" s="42"/>
      <c r="E53" s="46"/>
      <c r="F53" s="38"/>
      <c r="G53" s="38"/>
      <c r="H53" s="39"/>
    </row>
    <row r="54" spans="1:8" x14ac:dyDescent="0.25">
      <c r="A54" s="40"/>
      <c r="B54" s="41"/>
      <c r="C54" s="37"/>
      <c r="D54" s="42"/>
      <c r="E54" s="46"/>
      <c r="F54" s="38"/>
      <c r="G54" s="38"/>
      <c r="H54" s="39"/>
    </row>
    <row r="55" spans="1:8" x14ac:dyDescent="0.25">
      <c r="A55" s="40"/>
      <c r="B55" s="41"/>
      <c r="C55" s="37"/>
      <c r="D55" s="42"/>
      <c r="E55" s="46"/>
      <c r="F55" s="38"/>
      <c r="G55" s="38"/>
      <c r="H55" s="39"/>
    </row>
    <row r="56" spans="1:8" x14ac:dyDescent="0.25">
      <c r="A56" s="40"/>
      <c r="B56" s="41"/>
      <c r="C56" s="37"/>
      <c r="D56" s="42"/>
      <c r="E56" s="46"/>
      <c r="F56" s="38"/>
      <c r="G56" s="38"/>
      <c r="H56" s="39"/>
    </row>
    <row r="57" spans="1:8" x14ac:dyDescent="0.25">
      <c r="A57" s="40"/>
      <c r="B57" s="41"/>
      <c r="C57" s="37"/>
      <c r="D57" s="42"/>
      <c r="E57" s="46"/>
      <c r="F57" s="38"/>
      <c r="G57" s="38"/>
      <c r="H57" s="39"/>
    </row>
    <row r="58" spans="1:8" ht="15.75" thickBot="1" x14ac:dyDescent="0.3">
      <c r="A58" s="30"/>
      <c r="B58" s="27"/>
      <c r="C58" s="28"/>
      <c r="D58" s="31"/>
      <c r="E58" s="47"/>
      <c r="F58" s="57"/>
      <c r="G58" s="57"/>
      <c r="H58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56"/>
  <sheetViews>
    <sheetView topLeftCell="A4" workbookViewId="0">
      <selection activeCell="E35" sqref="E35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8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8" ht="18.75" x14ac:dyDescent="0.3">
      <c r="A2" s="19"/>
      <c r="B2" s="24"/>
      <c r="D2" s="19"/>
      <c r="E2" s="19"/>
      <c r="F2" s="55"/>
    </row>
    <row r="3" spans="1:8" ht="18.75" x14ac:dyDescent="0.3">
      <c r="A3" s="20" t="s">
        <v>251</v>
      </c>
      <c r="C3" s="25">
        <v>258</v>
      </c>
      <c r="D3" s="19"/>
      <c r="E3" s="19"/>
      <c r="F3" s="55"/>
    </row>
    <row r="4" spans="1:8" ht="18.75" x14ac:dyDescent="0.3">
      <c r="A4" s="19"/>
      <c r="B4" s="24"/>
      <c r="D4" s="19"/>
      <c r="E4" s="19"/>
      <c r="F4" s="55"/>
    </row>
    <row r="5" spans="1:8" ht="18.75" x14ac:dyDescent="0.3">
      <c r="A5" s="20" t="s">
        <v>256</v>
      </c>
      <c r="C5" s="26" t="str">
        <f>VLOOKUP(C3,'Liste salariés'!A3:G104,2,FALSE)</f>
        <v>JOUMAH HASSAN</v>
      </c>
      <c r="D5" s="19"/>
      <c r="E5" s="19"/>
      <c r="F5" s="55"/>
    </row>
    <row r="6" spans="1:8" ht="39.75" customHeight="1" x14ac:dyDescent="0.3">
      <c r="A6" s="20" t="s">
        <v>252</v>
      </c>
      <c r="C6" s="23">
        <f>VLOOKUP(C3,'Liste salariés'!A3:J103,6,FALSE)</f>
        <v>22426</v>
      </c>
      <c r="D6" s="20" t="s">
        <v>253</v>
      </c>
      <c r="E6" s="49">
        <f ca="1">(B1-C6)/365</f>
        <v>64.838356164383555</v>
      </c>
      <c r="F6" s="48"/>
    </row>
    <row r="7" spans="1:8" ht="26.25" customHeight="1" x14ac:dyDescent="0.3">
      <c r="A7" s="20" t="s">
        <v>254</v>
      </c>
      <c r="C7" s="23">
        <f>VLOOKUP(C3,'Liste salariés'!A3:J105,3,FALSE)</f>
        <v>39364</v>
      </c>
      <c r="D7" s="20" t="s">
        <v>255</v>
      </c>
      <c r="E7" s="49">
        <f ca="1">(B1-C7)/365</f>
        <v>18.432876712328767</v>
      </c>
      <c r="F7" s="48"/>
    </row>
    <row r="8" spans="1:8" x14ac:dyDescent="0.25">
      <c r="B8"/>
    </row>
    <row r="9" spans="1:8" x14ac:dyDescent="0.25">
      <c r="B9"/>
    </row>
    <row r="10" spans="1:8" ht="18.75" x14ac:dyDescent="0.3">
      <c r="A10" s="20" t="s">
        <v>257</v>
      </c>
      <c r="B10"/>
    </row>
    <row r="11" spans="1:8" ht="15.75" thickBot="1" x14ac:dyDescent="0.3"/>
    <row r="12" spans="1:8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8" ht="20.100000000000001" customHeight="1" x14ac:dyDescent="0.25">
      <c r="A13" s="32">
        <v>2046</v>
      </c>
      <c r="B13" s="60" t="str">
        <f>VLOOKUP(A13,'Liste Formations'!$A$5:$B$154,2,FALSE)</f>
        <v>IFOCA - Formulation des caoutchoucs : INITIATION</v>
      </c>
      <c r="C13" s="33"/>
      <c r="D13" s="44"/>
      <c r="E13" s="45"/>
      <c r="F13" s="34"/>
      <c r="G13" s="34">
        <v>2009</v>
      </c>
      <c r="H13" s="35">
        <v>35</v>
      </c>
    </row>
    <row r="14" spans="1:8" ht="20.100000000000001" customHeight="1" x14ac:dyDescent="0.25">
      <c r="A14" s="36">
        <v>2003</v>
      </c>
      <c r="B14" s="59" t="str">
        <f>VLOOKUP(A14,'Liste Formations'!$A$5:$B$154,2,FALSE)</f>
        <v xml:space="preserve">CIRAD / Les secrets d'un polymère </v>
      </c>
      <c r="C14" s="37"/>
      <c r="D14" s="42"/>
      <c r="E14" s="46"/>
      <c r="F14" s="38"/>
      <c r="G14" s="38">
        <v>2011</v>
      </c>
      <c r="H14" s="39">
        <v>14</v>
      </c>
    </row>
    <row r="15" spans="1:8" ht="20.100000000000001" customHeight="1" x14ac:dyDescent="0.25">
      <c r="A15" s="36">
        <v>2005</v>
      </c>
      <c r="B15" s="59" t="str">
        <f>VLOOKUP(A15,'Liste Formations'!$A$5:$B$154,2,FALSE)</f>
        <v>Formation LEAN</v>
      </c>
      <c r="C15" s="37"/>
      <c r="D15" s="42"/>
      <c r="E15" s="46"/>
      <c r="F15" s="38"/>
      <c r="G15" s="38">
        <v>2011</v>
      </c>
      <c r="H15" s="39">
        <v>7</v>
      </c>
    </row>
    <row r="16" spans="1:8" ht="20.100000000000001" customHeight="1" x14ac:dyDescent="0.25">
      <c r="A16" s="36">
        <v>2014</v>
      </c>
      <c r="B16" s="59" t="str">
        <f>VLOOKUP(A16,'Liste Formations'!$A$5:$B$154,2,FALSE)</f>
        <v>Gestion Projet + ISO T.S.</v>
      </c>
      <c r="C16" s="37"/>
      <c r="D16" s="42"/>
      <c r="E16" s="46"/>
      <c r="F16" s="38"/>
      <c r="G16" s="38">
        <v>2013</v>
      </c>
      <c r="H16" s="39">
        <v>7</v>
      </c>
    </row>
    <row r="17" spans="1:8" ht="20.100000000000001" customHeight="1" x14ac:dyDescent="0.25">
      <c r="A17" s="36">
        <v>1011</v>
      </c>
      <c r="B17" s="59" t="str">
        <f>VLOOKUP(A17,'Liste Formations'!$A$5:$B$154,2,FALSE)</f>
        <v>UTI.COM - SSI / CHUBB</v>
      </c>
      <c r="C17" s="37"/>
      <c r="D17" s="42"/>
      <c r="E17" s="46"/>
      <c r="F17" s="38"/>
      <c r="G17" s="38">
        <v>2014</v>
      </c>
      <c r="H17" s="39">
        <v>4</v>
      </c>
    </row>
    <row r="18" spans="1:8" ht="20.100000000000001" customHeight="1" x14ac:dyDescent="0.25">
      <c r="A18" s="36">
        <v>2007</v>
      </c>
      <c r="B18" s="59" t="str">
        <f>VLOOKUP(A18,'Liste Formations'!$A$5:$B$154,2,FALSE)</f>
        <v>ERP DIVALTO</v>
      </c>
      <c r="C18" s="37"/>
      <c r="D18" s="42"/>
      <c r="E18" s="46"/>
      <c r="F18" s="38"/>
      <c r="G18" s="38">
        <v>2016</v>
      </c>
      <c r="H18" s="39">
        <v>7</v>
      </c>
    </row>
    <row r="19" spans="1:8" ht="20.100000000000001" customHeight="1" x14ac:dyDescent="0.25">
      <c r="A19" s="36">
        <v>2029</v>
      </c>
      <c r="B19" s="59" t="str">
        <f>VLOOKUP(A19,'Liste Formations'!$A$5:$B$154,2,FALSE)</f>
        <v>CORE
TOOLS</v>
      </c>
      <c r="C19" s="37"/>
      <c r="D19" s="42"/>
      <c r="E19" s="46"/>
      <c r="F19" s="38"/>
      <c r="G19" s="38">
        <v>2016</v>
      </c>
      <c r="H19" s="39">
        <v>7</v>
      </c>
    </row>
    <row r="20" spans="1:8" ht="20.100000000000001" customHeight="1" x14ac:dyDescent="0.25">
      <c r="A20" s="36">
        <v>2007</v>
      </c>
      <c r="B20" s="59" t="str">
        <f>VLOOKUP(A20,'Liste Formations'!$A$5:$B$154,2,FALSE)</f>
        <v>ERP DIVALTO</v>
      </c>
      <c r="C20" s="37"/>
      <c r="D20" s="42"/>
      <c r="E20" s="46"/>
      <c r="F20" s="38"/>
      <c r="G20" s="38">
        <v>2017</v>
      </c>
      <c r="H20" s="39">
        <v>21</v>
      </c>
    </row>
    <row r="21" spans="1:8" ht="20.100000000000001" customHeight="1" x14ac:dyDescent="0.25">
      <c r="A21" s="36">
        <v>1021</v>
      </c>
      <c r="B21" s="59" t="str">
        <f>VLOOKUP(A21,'Liste Formations'!$A$5:$B$154,2,FALSE)</f>
        <v>Gestion du stress</v>
      </c>
      <c r="C21" s="37"/>
      <c r="D21" s="42"/>
      <c r="E21" s="46"/>
      <c r="F21" s="38"/>
      <c r="G21" s="38">
        <v>2018</v>
      </c>
      <c r="H21" s="39">
        <v>4</v>
      </c>
    </row>
    <row r="22" spans="1:8" ht="20.100000000000001" customHeight="1" x14ac:dyDescent="0.25">
      <c r="A22" s="36">
        <v>2007</v>
      </c>
      <c r="B22" s="59" t="str">
        <f>VLOOKUP(A22,'Liste Formations'!$A$5:$B$154,2,FALSE)</f>
        <v>ERP DIVALTO</v>
      </c>
      <c r="C22" s="37"/>
      <c r="D22" s="42"/>
      <c r="E22" s="46"/>
      <c r="F22" s="38"/>
      <c r="G22" s="38">
        <v>2019</v>
      </c>
      <c r="H22" s="39">
        <v>14</v>
      </c>
    </row>
    <row r="23" spans="1:8" ht="20.100000000000001" customHeight="1" x14ac:dyDescent="0.25">
      <c r="A23" s="36">
        <v>2021</v>
      </c>
      <c r="B23" s="59" t="str">
        <f>VLOOKUP(A23,'Liste Formations'!$A$5:$B$154,2,FALSE)</f>
        <v>ENTERPRISE / ALPHA TECHNOLOGIE</v>
      </c>
      <c r="C23" s="37"/>
      <c r="D23" s="42"/>
      <c r="E23" s="46"/>
      <c r="F23" s="38"/>
      <c r="G23" s="38">
        <v>2019</v>
      </c>
      <c r="H23" s="39">
        <v>7</v>
      </c>
    </row>
    <row r="24" spans="1:8" ht="20.100000000000001" customHeight="1" x14ac:dyDescent="0.25">
      <c r="A24" s="36">
        <v>1009</v>
      </c>
      <c r="B24" s="59" t="str">
        <f>VLOOKUP(A24,'Liste Formations'!$A$5:$B$154,2,FALSE)</f>
        <v>Défibrillateur</v>
      </c>
      <c r="C24" s="37"/>
      <c r="D24" s="42"/>
      <c r="E24" s="46"/>
      <c r="F24" s="38"/>
      <c r="G24" s="38">
        <v>2019</v>
      </c>
      <c r="H24" s="39">
        <v>3</v>
      </c>
    </row>
    <row r="25" spans="1:8" ht="20.100000000000001" customHeight="1" x14ac:dyDescent="0.25">
      <c r="A25" s="36">
        <v>1010</v>
      </c>
      <c r="B25" s="59" t="str">
        <f>VLOOKUP(A25,'Liste Formations'!$A$5:$B$154,2,FALSE)</f>
        <v>Incendie</v>
      </c>
      <c r="C25" s="37"/>
      <c r="D25" s="42"/>
      <c r="E25" s="46"/>
      <c r="F25" s="38"/>
      <c r="G25" s="38">
        <v>2019</v>
      </c>
      <c r="H25" s="39">
        <v>4</v>
      </c>
    </row>
    <row r="26" spans="1:8" ht="20.100000000000001" customHeight="1" x14ac:dyDescent="0.25">
      <c r="A26" s="36">
        <v>2040</v>
      </c>
      <c r="B26" s="59" t="str">
        <f>VLOOKUP(A26,'Liste Formations'!$A$5:$B$154,2,FALSE)</f>
        <v xml:space="preserve">Anglais </v>
      </c>
      <c r="C26" s="37"/>
      <c r="D26" s="42"/>
      <c r="E26" s="46"/>
      <c r="F26" s="38"/>
      <c r="G26" s="38">
        <v>2023</v>
      </c>
      <c r="H26" s="39">
        <v>16.5</v>
      </c>
    </row>
    <row r="27" spans="1:8" ht="20.100000000000001" customHeight="1" x14ac:dyDescent="0.25">
      <c r="A27" s="36">
        <v>2040</v>
      </c>
      <c r="B27" s="59" t="str">
        <f>VLOOKUP(A27,'Liste Formations'!$A$5:$B$154,2,FALSE)</f>
        <v xml:space="preserve">Anglais </v>
      </c>
      <c r="C27" s="37"/>
      <c r="D27" s="42"/>
      <c r="E27" s="46"/>
      <c r="F27" s="38"/>
      <c r="G27" s="38">
        <v>2024</v>
      </c>
      <c r="H27" s="39">
        <v>13.5</v>
      </c>
    </row>
    <row r="28" spans="1:8" ht="20.100000000000001" customHeight="1" x14ac:dyDescent="0.25">
      <c r="A28" s="36"/>
      <c r="B28" s="59"/>
      <c r="C28" s="37"/>
      <c r="D28" s="42"/>
      <c r="E28" s="46"/>
      <c r="F28" s="38"/>
      <c r="G28" s="38"/>
      <c r="H28" s="39"/>
    </row>
    <row r="29" spans="1:8" ht="20.100000000000001" customHeight="1" x14ac:dyDescent="0.25">
      <c r="A29" s="36"/>
      <c r="B29" s="59"/>
      <c r="C29" s="37"/>
      <c r="D29" s="42"/>
      <c r="E29" s="46"/>
      <c r="F29" s="38"/>
      <c r="G29" s="38"/>
      <c r="H29" s="39"/>
    </row>
    <row r="30" spans="1:8" ht="20.100000000000001" customHeight="1" x14ac:dyDescent="0.25">
      <c r="A30" s="36"/>
      <c r="B30" s="59"/>
      <c r="C30" s="37"/>
      <c r="D30" s="42"/>
      <c r="E30" s="46"/>
      <c r="F30" s="38"/>
      <c r="G30" s="38"/>
      <c r="H30" s="39"/>
    </row>
    <row r="31" spans="1:8" ht="20.100000000000001" customHeight="1" x14ac:dyDescent="0.25">
      <c r="A31" s="36"/>
      <c r="B31" s="59"/>
      <c r="C31" s="37"/>
      <c r="D31" s="42"/>
      <c r="E31" s="46"/>
      <c r="F31" s="38"/>
      <c r="G31" s="38"/>
      <c r="H31" s="39"/>
    </row>
    <row r="32" spans="1:8" ht="20.100000000000001" customHeight="1" x14ac:dyDescent="0.25">
      <c r="A32" s="36"/>
      <c r="B32" s="59"/>
      <c r="C32" s="37"/>
      <c r="D32" s="42"/>
      <c r="E32" s="46"/>
      <c r="F32" s="38"/>
      <c r="G32" s="38"/>
      <c r="H32" s="39"/>
    </row>
    <row r="33" spans="1:8" ht="20.100000000000001" customHeight="1" x14ac:dyDescent="0.25">
      <c r="A33" s="36"/>
      <c r="B33" s="37"/>
      <c r="C33" s="37"/>
      <c r="D33" s="42"/>
      <c r="E33" s="46"/>
      <c r="F33" s="38"/>
      <c r="G33" s="38"/>
      <c r="H33" s="39"/>
    </row>
    <row r="34" spans="1:8" ht="20.100000000000001" customHeight="1" x14ac:dyDescent="0.25">
      <c r="A34" s="36"/>
      <c r="B34" s="37"/>
      <c r="C34" s="37"/>
      <c r="D34" s="42"/>
      <c r="E34" s="46"/>
      <c r="F34" s="38"/>
      <c r="G34" s="38"/>
      <c r="H34" s="39"/>
    </row>
    <row r="35" spans="1:8" ht="20.100000000000001" customHeight="1" x14ac:dyDescent="0.25">
      <c r="A35" s="36"/>
      <c r="B35" s="37"/>
      <c r="C35" s="37"/>
      <c r="D35" s="42"/>
      <c r="E35" s="46"/>
      <c r="F35" s="38"/>
      <c r="G35" s="38"/>
      <c r="H35" s="39"/>
    </row>
    <row r="36" spans="1:8" ht="20.100000000000001" customHeight="1" x14ac:dyDescent="0.25">
      <c r="A36" s="36"/>
      <c r="B36" s="37"/>
      <c r="C36" s="37"/>
      <c r="D36" s="42"/>
      <c r="E36" s="46"/>
      <c r="F36" s="38"/>
      <c r="G36" s="38"/>
      <c r="H36" s="39"/>
    </row>
    <row r="37" spans="1:8" x14ac:dyDescent="0.25">
      <c r="A37" s="40"/>
      <c r="B37" s="41"/>
      <c r="C37" s="37"/>
      <c r="D37" s="42"/>
      <c r="E37" s="46"/>
      <c r="F37" s="38"/>
      <c r="G37" s="38"/>
      <c r="H37" s="43"/>
    </row>
    <row r="38" spans="1:8" x14ac:dyDescent="0.25">
      <c r="A38" s="40"/>
      <c r="B38" s="41"/>
      <c r="C38" s="37"/>
      <c r="D38" s="42"/>
      <c r="E38" s="46"/>
      <c r="F38" s="56"/>
      <c r="G38" s="56"/>
      <c r="H38" s="43"/>
    </row>
    <row r="39" spans="1:8" x14ac:dyDescent="0.25">
      <c r="A39" s="40"/>
      <c r="B39" s="41"/>
      <c r="C39" s="37"/>
      <c r="D39" s="42"/>
      <c r="E39" s="46"/>
      <c r="F39" s="38"/>
      <c r="G39" s="38"/>
      <c r="H39" s="43"/>
    </row>
    <row r="40" spans="1:8" x14ac:dyDescent="0.25">
      <c r="A40" s="40"/>
      <c r="B40" s="41"/>
      <c r="C40" s="37"/>
      <c r="D40" s="42"/>
      <c r="E40" s="46"/>
      <c r="F40" s="38"/>
      <c r="G40" s="38"/>
      <c r="H40" s="43"/>
    </row>
    <row r="41" spans="1:8" x14ac:dyDescent="0.25">
      <c r="A41" s="40"/>
      <c r="B41" s="41"/>
      <c r="C41" s="37"/>
      <c r="D41" s="42"/>
      <c r="E41" s="46"/>
      <c r="F41" s="38"/>
      <c r="G41" s="38"/>
      <c r="H41" s="43"/>
    </row>
    <row r="42" spans="1:8" x14ac:dyDescent="0.25">
      <c r="A42" s="40"/>
      <c r="B42" s="41"/>
      <c r="C42" s="37"/>
      <c r="D42" s="42"/>
      <c r="E42" s="46"/>
      <c r="F42" s="38"/>
      <c r="G42" s="38"/>
      <c r="H42" s="43"/>
    </row>
    <row r="43" spans="1:8" x14ac:dyDescent="0.25">
      <c r="A43" s="40"/>
      <c r="B43" s="41"/>
      <c r="C43" s="37"/>
      <c r="D43" s="42"/>
      <c r="E43" s="46"/>
      <c r="F43" s="38"/>
      <c r="G43" s="38"/>
      <c r="H43" s="43"/>
    </row>
    <row r="44" spans="1:8" x14ac:dyDescent="0.25">
      <c r="A44" s="40"/>
      <c r="B44" s="41"/>
      <c r="C44" s="37"/>
      <c r="D44" s="42"/>
      <c r="E44" s="46"/>
      <c r="F44" s="38"/>
      <c r="G44" s="38"/>
      <c r="H44" s="43"/>
    </row>
    <row r="45" spans="1:8" x14ac:dyDescent="0.25">
      <c r="A45" s="40"/>
      <c r="B45" s="41"/>
      <c r="C45" s="37"/>
      <c r="D45" s="42"/>
      <c r="E45" s="46"/>
      <c r="F45" s="38"/>
      <c r="G45" s="38"/>
      <c r="H45" s="43"/>
    </row>
    <row r="46" spans="1:8" x14ac:dyDescent="0.25">
      <c r="A46" s="40"/>
      <c r="B46" s="41"/>
      <c r="C46" s="37"/>
      <c r="D46" s="42"/>
      <c r="E46" s="46"/>
      <c r="F46" s="38"/>
      <c r="G46" s="38"/>
      <c r="H46" s="43"/>
    </row>
    <row r="47" spans="1:8" x14ac:dyDescent="0.25">
      <c r="A47" s="40"/>
      <c r="B47" s="41"/>
      <c r="C47" s="37"/>
      <c r="D47" s="42"/>
      <c r="E47" s="46"/>
      <c r="F47" s="38"/>
      <c r="G47" s="38"/>
      <c r="H47" s="43"/>
    </row>
    <row r="48" spans="1:8" x14ac:dyDescent="0.25">
      <c r="A48" s="40"/>
      <c r="B48" s="41"/>
      <c r="C48" s="37"/>
      <c r="D48" s="42"/>
      <c r="E48" s="46"/>
      <c r="F48" s="38"/>
      <c r="G48" s="38"/>
      <c r="H48" s="43"/>
    </row>
    <row r="49" spans="1:8" x14ac:dyDescent="0.25">
      <c r="A49" s="40"/>
      <c r="B49" s="41"/>
      <c r="C49" s="37"/>
      <c r="D49" s="42"/>
      <c r="E49" s="46"/>
      <c r="F49" s="38"/>
      <c r="G49" s="38"/>
      <c r="H49" s="43"/>
    </row>
    <row r="50" spans="1:8" x14ac:dyDescent="0.25">
      <c r="A50" s="40"/>
      <c r="B50" s="41"/>
      <c r="C50" s="37"/>
      <c r="D50" s="42"/>
      <c r="E50" s="46"/>
      <c r="F50" s="38"/>
      <c r="G50" s="38"/>
      <c r="H50" s="43"/>
    </row>
    <row r="51" spans="1:8" x14ac:dyDescent="0.25">
      <c r="A51" s="40"/>
      <c r="B51" s="41"/>
      <c r="C51" s="37"/>
      <c r="D51" s="42"/>
      <c r="E51" s="46"/>
      <c r="F51" s="38"/>
      <c r="G51" s="38"/>
      <c r="H51" s="43"/>
    </row>
    <row r="52" spans="1:8" x14ac:dyDescent="0.25">
      <c r="A52" s="40"/>
      <c r="B52" s="41"/>
      <c r="C52" s="37"/>
      <c r="D52" s="42"/>
      <c r="E52" s="46"/>
      <c r="F52" s="38"/>
      <c r="G52" s="38"/>
      <c r="H52" s="43"/>
    </row>
    <row r="53" spans="1:8" x14ac:dyDescent="0.25">
      <c r="A53" s="40"/>
      <c r="B53" s="41"/>
      <c r="C53" s="37"/>
      <c r="D53" s="42"/>
      <c r="E53" s="46"/>
      <c r="F53" s="38"/>
      <c r="G53" s="38"/>
      <c r="H53" s="43"/>
    </row>
    <row r="54" spans="1:8" x14ac:dyDescent="0.25">
      <c r="A54" s="40"/>
      <c r="B54" s="41"/>
      <c r="C54" s="37"/>
      <c r="D54" s="42"/>
      <c r="E54" s="46"/>
      <c r="F54" s="38"/>
      <c r="G54" s="38"/>
      <c r="H54" s="43"/>
    </row>
    <row r="55" spans="1:8" x14ac:dyDescent="0.25">
      <c r="A55" s="40"/>
      <c r="B55" s="41"/>
      <c r="C55" s="37"/>
      <c r="D55" s="42"/>
      <c r="E55" s="46"/>
      <c r="F55" s="38"/>
      <c r="G55" s="38"/>
      <c r="H55" s="43"/>
    </row>
    <row r="56" spans="1:8" ht="15.75" thickBot="1" x14ac:dyDescent="0.3">
      <c r="A56" s="30"/>
      <c r="B56" s="27"/>
      <c r="C56" s="28"/>
      <c r="D56" s="31"/>
      <c r="E56" s="47"/>
      <c r="F56" s="57"/>
      <c r="G56" s="57"/>
      <c r="H56" s="29"/>
    </row>
  </sheetData>
  <pageMargins left="0.39370078740157483" right="0.39370078740157483" top="0.39370078740157483" bottom="0.39370078740157483" header="0.31496062992125984" footer="0.31496062992125984"/>
  <pageSetup paperSize="9" scale="75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133"/>
  <sheetViews>
    <sheetView topLeftCell="A19" workbookViewId="0">
      <selection activeCell="D37" sqref="D37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8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8" ht="18.75" x14ac:dyDescent="0.3">
      <c r="A2" s="19"/>
      <c r="B2" s="24"/>
      <c r="D2" s="19"/>
      <c r="E2" s="19"/>
      <c r="F2" s="55"/>
    </row>
    <row r="3" spans="1:8" ht="18.75" x14ac:dyDescent="0.3">
      <c r="A3" s="20" t="s">
        <v>251</v>
      </c>
      <c r="C3" s="25">
        <v>46</v>
      </c>
      <c r="D3" s="19"/>
      <c r="E3" s="19"/>
      <c r="F3" s="55"/>
    </row>
    <row r="4" spans="1:8" ht="18.75" x14ac:dyDescent="0.3">
      <c r="A4" s="19"/>
      <c r="B4" s="24"/>
      <c r="D4" s="19"/>
      <c r="E4" s="19"/>
      <c r="F4" s="55"/>
    </row>
    <row r="5" spans="1:8" ht="18.75" x14ac:dyDescent="0.3">
      <c r="A5" s="20" t="s">
        <v>256</v>
      </c>
      <c r="C5" s="26" t="str">
        <f>VLOOKUP(C3,'Liste salariés'!A3:G104,2,FALSE)</f>
        <v>BIDONDO Pierre</v>
      </c>
      <c r="D5" s="19"/>
      <c r="E5" s="19"/>
      <c r="F5" s="55"/>
    </row>
    <row r="6" spans="1:8" ht="39.75" customHeight="1" x14ac:dyDescent="0.3">
      <c r="A6" s="20" t="s">
        <v>252</v>
      </c>
      <c r="C6" s="23">
        <f>VLOOKUP(C3,'Liste salariés'!A3:J103,6,FALSE)</f>
        <v>24408</v>
      </c>
      <c r="D6" s="20" t="s">
        <v>253</v>
      </c>
      <c r="E6" s="49">
        <f ca="1">(B1-C6)/365</f>
        <v>59.408219178082192</v>
      </c>
      <c r="F6" s="48"/>
    </row>
    <row r="7" spans="1:8" ht="26.25" customHeight="1" x14ac:dyDescent="0.3">
      <c r="A7" s="20" t="s">
        <v>254</v>
      </c>
      <c r="C7" s="23">
        <f>VLOOKUP(C3,'Liste salariés'!A3:J105,3,FALSE)</f>
        <v>33340</v>
      </c>
      <c r="D7" s="20" t="s">
        <v>255</v>
      </c>
      <c r="E7" s="49">
        <f ca="1">(B1-C7)/365</f>
        <v>34.936986301369863</v>
      </c>
      <c r="F7" s="48"/>
    </row>
    <row r="8" spans="1:8" x14ac:dyDescent="0.25">
      <c r="B8"/>
    </row>
    <row r="9" spans="1:8" x14ac:dyDescent="0.25">
      <c r="B9"/>
    </row>
    <row r="10" spans="1:8" ht="18.75" x14ac:dyDescent="0.3">
      <c r="A10" s="20" t="s">
        <v>257</v>
      </c>
      <c r="B10"/>
    </row>
    <row r="11" spans="1:8" ht="15.75" thickBot="1" x14ac:dyDescent="0.3"/>
    <row r="12" spans="1:8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8" ht="20.100000000000001" customHeight="1" x14ac:dyDescent="0.25">
      <c r="A13" s="32">
        <v>3039</v>
      </c>
      <c r="B13" s="60" t="s">
        <v>28</v>
      </c>
      <c r="C13" s="33"/>
      <c r="D13" s="44"/>
      <c r="E13" s="45"/>
      <c r="F13" s="34"/>
      <c r="G13" s="34">
        <v>2010</v>
      </c>
      <c r="H13" s="35">
        <v>151.66999999999999</v>
      </c>
    </row>
    <row r="14" spans="1:8" ht="20.100000000000001" customHeight="1" x14ac:dyDescent="0.25">
      <c r="A14" s="36">
        <v>3038</v>
      </c>
      <c r="B14" s="59" t="s">
        <v>41</v>
      </c>
      <c r="C14" s="37"/>
      <c r="D14" s="42"/>
      <c r="E14" s="46"/>
      <c r="F14" s="38"/>
      <c r="G14" s="38">
        <v>2011</v>
      </c>
      <c r="H14" s="39">
        <v>151.66999999999999</v>
      </c>
    </row>
    <row r="15" spans="1:8" ht="20.100000000000001" customHeight="1" x14ac:dyDescent="0.25">
      <c r="A15" s="36">
        <v>3039</v>
      </c>
      <c r="B15" s="59" t="s">
        <v>28</v>
      </c>
      <c r="C15" s="37"/>
      <c r="D15" s="42"/>
      <c r="E15" s="46"/>
      <c r="F15" s="38"/>
      <c r="G15" s="38">
        <v>2011</v>
      </c>
      <c r="H15" s="39">
        <v>151.66999999999999</v>
      </c>
    </row>
    <row r="16" spans="1:8" ht="20.100000000000001" customHeight="1" x14ac:dyDescent="0.25">
      <c r="A16" s="36">
        <v>3040</v>
      </c>
      <c r="B16" s="59" t="s">
        <v>27</v>
      </c>
      <c r="C16" s="37"/>
      <c r="D16" s="42"/>
      <c r="E16" s="46"/>
      <c r="F16" s="38"/>
      <c r="G16" s="38">
        <v>2011</v>
      </c>
      <c r="H16" s="39">
        <v>151.66999999999999</v>
      </c>
    </row>
    <row r="17" spans="1:8" ht="20.100000000000001" customHeight="1" x14ac:dyDescent="0.25">
      <c r="A17" s="36">
        <v>3041</v>
      </c>
      <c r="B17" s="59" t="s">
        <v>36</v>
      </c>
      <c r="C17" s="37"/>
      <c r="D17" s="42"/>
      <c r="E17" s="46"/>
      <c r="F17" s="38"/>
      <c r="G17" s="38">
        <v>2011</v>
      </c>
      <c r="H17" s="39">
        <v>151.66999999999999</v>
      </c>
    </row>
    <row r="18" spans="1:8" ht="20.100000000000001" customHeight="1" x14ac:dyDescent="0.25">
      <c r="A18" s="36">
        <v>3043</v>
      </c>
      <c r="B18" s="59" t="s">
        <v>44</v>
      </c>
      <c r="C18" s="37"/>
      <c r="D18" s="42"/>
      <c r="E18" s="46"/>
      <c r="F18" s="38"/>
      <c r="G18" s="38">
        <v>2011</v>
      </c>
      <c r="H18" s="39">
        <v>151.66999999999999</v>
      </c>
    </row>
    <row r="19" spans="1:8" ht="20.100000000000001" customHeight="1" x14ac:dyDescent="0.25">
      <c r="A19" s="36">
        <v>2001</v>
      </c>
      <c r="B19" s="59" t="s">
        <v>168</v>
      </c>
      <c r="C19" s="37"/>
      <c r="D19" s="42"/>
      <c r="E19" s="46"/>
      <c r="F19" s="38"/>
      <c r="G19" s="38">
        <v>2011</v>
      </c>
      <c r="H19" s="39">
        <v>42</v>
      </c>
    </row>
    <row r="20" spans="1:8" ht="20.100000000000001" customHeight="1" x14ac:dyDescent="0.25">
      <c r="A20" s="36">
        <v>1003</v>
      </c>
      <c r="B20" s="59" t="s">
        <v>205</v>
      </c>
      <c r="C20" s="37"/>
      <c r="D20" s="42"/>
      <c r="E20" s="46"/>
      <c r="F20" s="38"/>
      <c r="G20" s="38">
        <v>2012</v>
      </c>
      <c r="H20" s="39">
        <v>7</v>
      </c>
    </row>
    <row r="21" spans="1:8" ht="20.100000000000001" customHeight="1" x14ac:dyDescent="0.25">
      <c r="A21" s="36">
        <v>1006</v>
      </c>
      <c r="B21" s="59" t="s">
        <v>150</v>
      </c>
      <c r="C21" s="37"/>
      <c r="D21" s="42"/>
      <c r="E21" s="46"/>
      <c r="F21" s="38"/>
      <c r="G21" s="38">
        <v>2012</v>
      </c>
      <c r="H21" s="39">
        <v>14</v>
      </c>
    </row>
    <row r="22" spans="1:8" ht="20.100000000000001" customHeight="1" x14ac:dyDescent="0.25">
      <c r="A22" s="36">
        <v>3038</v>
      </c>
      <c r="B22" s="59" t="s">
        <v>41</v>
      </c>
      <c r="C22" s="37"/>
      <c r="D22" s="42"/>
      <c r="E22" s="46"/>
      <c r="F22" s="38"/>
      <c r="G22" s="38">
        <v>2013</v>
      </c>
      <c r="H22" s="39">
        <v>151.66999999999999</v>
      </c>
    </row>
    <row r="23" spans="1:8" ht="20.100000000000001" customHeight="1" x14ac:dyDescent="0.25">
      <c r="A23" s="36">
        <v>3039</v>
      </c>
      <c r="B23" s="59" t="s">
        <v>28</v>
      </c>
      <c r="C23" s="37"/>
      <c r="D23" s="42"/>
      <c r="E23" s="46"/>
      <c r="F23" s="38"/>
      <c r="G23" s="38">
        <v>2013</v>
      </c>
      <c r="H23" s="39">
        <v>151.66999999999999</v>
      </c>
    </row>
    <row r="24" spans="1:8" ht="20.100000000000001" customHeight="1" x14ac:dyDescent="0.25">
      <c r="A24" s="36">
        <v>3040</v>
      </c>
      <c r="B24" s="59" t="s">
        <v>27</v>
      </c>
      <c r="C24" s="37"/>
      <c r="D24" s="42"/>
      <c r="E24" s="46"/>
      <c r="F24" s="38"/>
      <c r="G24" s="38">
        <v>2013</v>
      </c>
      <c r="H24" s="39">
        <v>151.66999999999999</v>
      </c>
    </row>
    <row r="25" spans="1:8" ht="20.100000000000001" customHeight="1" x14ac:dyDescent="0.25">
      <c r="A25" s="36">
        <v>3041</v>
      </c>
      <c r="B25" s="59" t="s">
        <v>36</v>
      </c>
      <c r="C25" s="37"/>
      <c r="D25" s="42"/>
      <c r="E25" s="46"/>
      <c r="F25" s="38"/>
      <c r="G25" s="38">
        <v>2013</v>
      </c>
      <c r="H25" s="39">
        <v>151.66999999999999</v>
      </c>
    </row>
    <row r="26" spans="1:8" ht="20.100000000000001" customHeight="1" x14ac:dyDescent="0.25">
      <c r="A26" s="36">
        <v>3043</v>
      </c>
      <c r="B26" s="59" t="s">
        <v>44</v>
      </c>
      <c r="C26" s="37"/>
      <c r="D26" s="42"/>
      <c r="E26" s="46"/>
      <c r="F26" s="38"/>
      <c r="G26" s="38">
        <v>2013</v>
      </c>
      <c r="H26" s="39">
        <v>151.66999999999999</v>
      </c>
    </row>
    <row r="27" spans="1:8" ht="20.100000000000001" customHeight="1" x14ac:dyDescent="0.25">
      <c r="A27" s="36">
        <v>3040</v>
      </c>
      <c r="B27" s="59" t="s">
        <v>27</v>
      </c>
      <c r="C27" s="37"/>
      <c r="D27" s="42"/>
      <c r="E27" s="46"/>
      <c r="F27" s="38"/>
      <c r="G27" s="38">
        <v>2014</v>
      </c>
      <c r="H27" s="39">
        <v>151.66999999999999</v>
      </c>
    </row>
    <row r="28" spans="1:8" ht="20.100000000000001" customHeight="1" x14ac:dyDescent="0.25">
      <c r="A28" s="36">
        <v>3038</v>
      </c>
      <c r="B28" s="59" t="s">
        <v>41</v>
      </c>
      <c r="C28" s="37"/>
      <c r="D28" s="42"/>
      <c r="E28" s="46"/>
      <c r="F28" s="38"/>
      <c r="G28" s="38">
        <v>2015</v>
      </c>
      <c r="H28" s="39">
        <v>151.66999999999999</v>
      </c>
    </row>
    <row r="29" spans="1:8" ht="20.100000000000001" customHeight="1" x14ac:dyDescent="0.25">
      <c r="A29" s="36">
        <v>3039</v>
      </c>
      <c r="B29" s="59" t="s">
        <v>28</v>
      </c>
      <c r="C29" s="37"/>
      <c r="D29" s="42"/>
      <c r="E29" s="46"/>
      <c r="F29" s="38"/>
      <c r="G29" s="38">
        <v>2015</v>
      </c>
      <c r="H29" s="39">
        <v>151.66999999999999</v>
      </c>
    </row>
    <row r="30" spans="1:8" ht="20.100000000000001" customHeight="1" x14ac:dyDescent="0.25">
      <c r="A30" s="36">
        <v>3040</v>
      </c>
      <c r="B30" s="59" t="s">
        <v>27</v>
      </c>
      <c r="C30" s="37"/>
      <c r="D30" s="42"/>
      <c r="E30" s="46"/>
      <c r="F30" s="38"/>
      <c r="G30" s="38">
        <v>2015</v>
      </c>
      <c r="H30" s="39">
        <v>151.66999999999999</v>
      </c>
    </row>
    <row r="31" spans="1:8" ht="20.100000000000001" customHeight="1" x14ac:dyDescent="0.25">
      <c r="A31" s="36">
        <v>3041</v>
      </c>
      <c r="B31" s="59" t="s">
        <v>36</v>
      </c>
      <c r="C31" s="37"/>
      <c r="D31" s="42"/>
      <c r="E31" s="46"/>
      <c r="F31" s="38"/>
      <c r="G31" s="38">
        <v>2015</v>
      </c>
      <c r="H31" s="39">
        <v>151.66999999999999</v>
      </c>
    </row>
    <row r="32" spans="1:8" ht="20.100000000000001" customHeight="1" x14ac:dyDescent="0.25">
      <c r="A32" s="36">
        <v>3043</v>
      </c>
      <c r="B32" s="59" t="s">
        <v>44</v>
      </c>
      <c r="C32" s="37"/>
      <c r="D32" s="42"/>
      <c r="E32" s="46"/>
      <c r="F32" s="38"/>
      <c r="G32" s="38">
        <v>2015</v>
      </c>
      <c r="H32" s="39">
        <v>151.66999999999999</v>
      </c>
    </row>
    <row r="33" spans="1:8" ht="20.100000000000001" customHeight="1" x14ac:dyDescent="0.25">
      <c r="A33" s="36">
        <v>2007</v>
      </c>
      <c r="B33" s="37" t="s">
        <v>245</v>
      </c>
      <c r="C33" s="37"/>
      <c r="D33" s="42"/>
      <c r="E33" s="46"/>
      <c r="F33" s="38"/>
      <c r="G33" s="38">
        <v>2016</v>
      </c>
      <c r="H33" s="39">
        <v>7</v>
      </c>
    </row>
    <row r="34" spans="1:8" ht="20.100000000000001" customHeight="1" x14ac:dyDescent="0.25">
      <c r="A34" s="36">
        <v>1009</v>
      </c>
      <c r="B34" s="37" t="s">
        <v>221</v>
      </c>
      <c r="C34" s="37"/>
      <c r="D34" s="42"/>
      <c r="E34" s="46"/>
      <c r="F34" s="38"/>
      <c r="G34" s="38">
        <v>2017</v>
      </c>
      <c r="H34" s="39">
        <v>2</v>
      </c>
    </row>
    <row r="35" spans="1:8" ht="20.100000000000001" customHeight="1" x14ac:dyDescent="0.25">
      <c r="A35" s="36">
        <v>2007</v>
      </c>
      <c r="B35" s="37" t="s">
        <v>245</v>
      </c>
      <c r="C35" s="37"/>
      <c r="D35" s="42"/>
      <c r="E35" s="46"/>
      <c r="F35" s="38"/>
      <c r="G35" s="38">
        <v>2017</v>
      </c>
      <c r="H35" s="39">
        <v>2.5</v>
      </c>
    </row>
    <row r="36" spans="1:8" ht="20.100000000000001" customHeight="1" x14ac:dyDescent="0.25">
      <c r="A36" s="36">
        <v>3038</v>
      </c>
      <c r="B36" s="37" t="s">
        <v>41</v>
      </c>
      <c r="C36" s="37"/>
      <c r="D36" s="42"/>
      <c r="E36" s="46"/>
      <c r="F36" s="38"/>
      <c r="G36" s="38">
        <v>2017</v>
      </c>
      <c r="H36" s="39">
        <v>151.66999999999999</v>
      </c>
    </row>
    <row r="37" spans="1:8" x14ac:dyDescent="0.25">
      <c r="A37" s="40">
        <v>3039</v>
      </c>
      <c r="B37" s="41" t="s">
        <v>28</v>
      </c>
      <c r="C37" s="37"/>
      <c r="D37" s="42"/>
      <c r="E37" s="46"/>
      <c r="F37" s="38"/>
      <c r="G37" s="38">
        <v>2017</v>
      </c>
      <c r="H37" s="39">
        <v>151.66999999999999</v>
      </c>
    </row>
    <row r="38" spans="1:8" x14ac:dyDescent="0.25">
      <c r="A38" s="40">
        <v>3040</v>
      </c>
      <c r="B38" s="41" t="s">
        <v>27</v>
      </c>
      <c r="C38" s="37"/>
      <c r="D38" s="42"/>
      <c r="E38" s="46"/>
      <c r="F38" s="56"/>
      <c r="G38" s="38">
        <v>2017</v>
      </c>
      <c r="H38" s="39">
        <v>151.66999999999999</v>
      </c>
    </row>
    <row r="39" spans="1:8" x14ac:dyDescent="0.25">
      <c r="A39" s="40">
        <v>3041</v>
      </c>
      <c r="B39" s="41" t="s">
        <v>36</v>
      </c>
      <c r="C39" s="37"/>
      <c r="D39" s="42"/>
      <c r="E39" s="46"/>
      <c r="F39" s="38"/>
      <c r="G39" s="38">
        <v>2017</v>
      </c>
      <c r="H39" s="39">
        <v>151.66999999999999</v>
      </c>
    </row>
    <row r="40" spans="1:8" x14ac:dyDescent="0.25">
      <c r="A40" s="40">
        <v>3043</v>
      </c>
      <c r="B40" s="41" t="s">
        <v>44</v>
      </c>
      <c r="C40" s="37"/>
      <c r="D40" s="42"/>
      <c r="E40" s="46"/>
      <c r="F40" s="38"/>
      <c r="G40" s="38">
        <v>2017</v>
      </c>
      <c r="H40" s="39">
        <v>151.66999999999999</v>
      </c>
    </row>
    <row r="41" spans="1:8" x14ac:dyDescent="0.25">
      <c r="A41" s="40">
        <v>3038</v>
      </c>
      <c r="B41" s="41" t="s">
        <v>41</v>
      </c>
      <c r="C41" s="37"/>
      <c r="D41" s="42"/>
      <c r="E41" s="46"/>
      <c r="F41" s="38"/>
      <c r="G41" s="38">
        <v>2019</v>
      </c>
      <c r="H41" s="39">
        <v>151.66999999999999</v>
      </c>
    </row>
    <row r="42" spans="1:8" x14ac:dyDescent="0.25">
      <c r="A42" s="40">
        <v>3041</v>
      </c>
      <c r="B42" s="41" t="s">
        <v>36</v>
      </c>
      <c r="C42" s="37"/>
      <c r="D42" s="42"/>
      <c r="E42" s="46"/>
      <c r="F42" s="38"/>
      <c r="G42" s="38">
        <v>2019</v>
      </c>
      <c r="H42" s="39">
        <v>151.66999999999999</v>
      </c>
    </row>
    <row r="43" spans="1:8" x14ac:dyDescent="0.25">
      <c r="A43" s="40">
        <v>3043</v>
      </c>
      <c r="B43" s="41" t="s">
        <v>44</v>
      </c>
      <c r="C43" s="37"/>
      <c r="D43" s="42"/>
      <c r="E43" s="46"/>
      <c r="F43" s="38"/>
      <c r="G43" s="38">
        <v>2019</v>
      </c>
      <c r="H43" s="39">
        <v>151.66999999999999</v>
      </c>
    </row>
    <row r="44" spans="1:8" x14ac:dyDescent="0.25">
      <c r="A44" s="40">
        <v>1022</v>
      </c>
      <c r="B44" s="41" t="s">
        <v>220</v>
      </c>
      <c r="C44" s="37"/>
      <c r="D44" s="42"/>
      <c r="E44" s="46"/>
      <c r="F44" s="38"/>
      <c r="G44" s="38">
        <v>2019</v>
      </c>
      <c r="H44" s="39">
        <v>0.16</v>
      </c>
    </row>
    <row r="45" spans="1:8" x14ac:dyDescent="0.25">
      <c r="A45" s="40">
        <v>1004</v>
      </c>
      <c r="B45" s="41" t="s">
        <v>206</v>
      </c>
      <c r="C45" s="37"/>
      <c r="D45" s="42"/>
      <c r="E45" s="46"/>
      <c r="F45" s="38"/>
      <c r="G45" s="38">
        <v>2019</v>
      </c>
      <c r="H45" s="39">
        <v>7</v>
      </c>
    </row>
    <row r="46" spans="1:8" x14ac:dyDescent="0.25">
      <c r="A46" s="40">
        <v>2007</v>
      </c>
      <c r="B46" s="41" t="s">
        <v>245</v>
      </c>
      <c r="C46" s="37"/>
      <c r="D46" s="42"/>
      <c r="E46" s="46"/>
      <c r="F46" s="38"/>
      <c r="G46" s="38">
        <v>2020</v>
      </c>
      <c r="H46" s="39">
        <v>2.5</v>
      </c>
    </row>
    <row r="47" spans="1:8" x14ac:dyDescent="0.25">
      <c r="A47" s="40">
        <v>3001</v>
      </c>
      <c r="B47" s="41" t="s">
        <v>23</v>
      </c>
      <c r="C47" s="37"/>
      <c r="D47" s="42"/>
      <c r="E47" s="46"/>
      <c r="F47" s="38"/>
      <c r="G47" s="38">
        <v>2020</v>
      </c>
      <c r="H47" s="39">
        <v>151.66999999999999</v>
      </c>
    </row>
    <row r="48" spans="1:8" x14ac:dyDescent="0.25">
      <c r="A48" s="40">
        <v>3002</v>
      </c>
      <c r="B48" s="41" t="s">
        <v>24</v>
      </c>
      <c r="C48" s="37"/>
      <c r="D48" s="42"/>
      <c r="E48" s="46"/>
      <c r="F48" s="38"/>
      <c r="G48" s="38">
        <v>2020</v>
      </c>
      <c r="H48" s="39">
        <v>151.66999999999999</v>
      </c>
    </row>
    <row r="49" spans="1:8" x14ac:dyDescent="0.25">
      <c r="A49" s="40">
        <v>3006</v>
      </c>
      <c r="B49" s="41" t="s">
        <v>25</v>
      </c>
      <c r="C49" s="37"/>
      <c r="D49" s="42"/>
      <c r="E49" s="46"/>
      <c r="F49" s="38"/>
      <c r="G49" s="38">
        <v>2020</v>
      </c>
      <c r="H49" s="39">
        <v>151.66999999999999</v>
      </c>
    </row>
    <row r="50" spans="1:8" x14ac:dyDescent="0.25">
      <c r="A50" s="40">
        <v>3014</v>
      </c>
      <c r="B50" s="41" t="s">
        <v>47</v>
      </c>
      <c r="C50" s="37"/>
      <c r="D50" s="42"/>
      <c r="E50" s="46"/>
      <c r="F50" s="38"/>
      <c r="G50" s="38">
        <v>2020</v>
      </c>
      <c r="H50" s="39">
        <v>10</v>
      </c>
    </row>
    <row r="51" spans="1:8" x14ac:dyDescent="0.25">
      <c r="A51" s="40">
        <v>3026</v>
      </c>
      <c r="B51" s="41" t="s">
        <v>40</v>
      </c>
      <c r="C51" s="37"/>
      <c r="D51" s="42"/>
      <c r="E51" s="46"/>
      <c r="F51" s="38"/>
      <c r="G51" s="38">
        <v>2020</v>
      </c>
      <c r="H51" s="39">
        <v>164</v>
      </c>
    </row>
    <row r="52" spans="1:8" x14ac:dyDescent="0.25">
      <c r="A52" s="40">
        <v>3028</v>
      </c>
      <c r="B52" s="41" t="s">
        <v>39</v>
      </c>
      <c r="C52" s="37"/>
      <c r="D52" s="42"/>
      <c r="E52" s="46"/>
      <c r="F52" s="38"/>
      <c r="G52" s="38">
        <v>2020</v>
      </c>
      <c r="H52" s="39">
        <v>66</v>
      </c>
    </row>
    <row r="53" spans="1:8" x14ac:dyDescent="0.25">
      <c r="A53" s="40">
        <v>3002</v>
      </c>
      <c r="B53" s="41" t="s">
        <v>24</v>
      </c>
      <c r="C53" s="37"/>
      <c r="D53" s="42"/>
      <c r="E53" s="46"/>
      <c r="F53" s="38"/>
      <c r="G53" s="38">
        <v>2021</v>
      </c>
      <c r="H53" s="39">
        <v>151.66999999999999</v>
      </c>
    </row>
    <row r="54" spans="1:8" x14ac:dyDescent="0.25">
      <c r="A54" s="40">
        <v>3015</v>
      </c>
      <c r="B54" s="41" t="s">
        <v>49</v>
      </c>
      <c r="C54" s="37"/>
      <c r="D54" s="42"/>
      <c r="E54" s="46"/>
      <c r="F54" s="38"/>
      <c r="G54" s="38">
        <v>2021</v>
      </c>
      <c r="H54" s="39">
        <v>151.66999999999999</v>
      </c>
    </row>
    <row r="55" spans="1:8" x14ac:dyDescent="0.25">
      <c r="A55" s="40">
        <v>3018</v>
      </c>
      <c r="B55" s="41" t="s">
        <v>37</v>
      </c>
      <c r="C55" s="37"/>
      <c r="D55" s="42"/>
      <c r="E55" s="46"/>
      <c r="F55" s="38"/>
      <c r="G55" s="38">
        <v>2021</v>
      </c>
      <c r="H55" s="39">
        <v>151.66999999999999</v>
      </c>
    </row>
    <row r="56" spans="1:8" x14ac:dyDescent="0.25">
      <c r="A56" s="40">
        <v>3026</v>
      </c>
      <c r="B56" s="41" t="s">
        <v>40</v>
      </c>
      <c r="C56" s="37"/>
      <c r="D56" s="42"/>
      <c r="E56" s="46"/>
      <c r="F56" s="38"/>
      <c r="G56" s="38">
        <v>2021</v>
      </c>
      <c r="H56" s="39">
        <v>151.66999999999999</v>
      </c>
    </row>
    <row r="57" spans="1:8" x14ac:dyDescent="0.25">
      <c r="A57" s="40">
        <v>3028</v>
      </c>
      <c r="B57" s="41" t="s">
        <v>39</v>
      </c>
      <c r="C57" s="37"/>
      <c r="D57" s="42"/>
      <c r="E57" s="46"/>
      <c r="F57" s="38"/>
      <c r="G57" s="38">
        <v>2021</v>
      </c>
      <c r="H57" s="39">
        <v>151.66999999999999</v>
      </c>
    </row>
    <row r="58" spans="1:8" x14ac:dyDescent="0.25">
      <c r="A58" s="40">
        <v>3022</v>
      </c>
      <c r="B58" s="41" t="s">
        <v>48</v>
      </c>
      <c r="C58" s="37"/>
      <c r="D58" s="42"/>
      <c r="E58" s="46"/>
      <c r="F58" s="38"/>
      <c r="G58" s="38">
        <v>2023</v>
      </c>
      <c r="H58" s="39">
        <v>151.66999999999999</v>
      </c>
    </row>
    <row r="59" spans="1:8" x14ac:dyDescent="0.25">
      <c r="A59" s="40">
        <v>1012</v>
      </c>
      <c r="B59" s="41" t="s">
        <v>242</v>
      </c>
      <c r="C59" s="37"/>
      <c r="D59" s="42"/>
      <c r="E59" s="46"/>
      <c r="F59" s="38"/>
      <c r="G59" s="38">
        <v>2023</v>
      </c>
      <c r="H59" s="39">
        <v>3.5</v>
      </c>
    </row>
    <row r="60" spans="1:8" x14ac:dyDescent="0.25">
      <c r="A60" s="40">
        <v>1002</v>
      </c>
      <c r="B60" s="41" t="s">
        <v>204</v>
      </c>
      <c r="C60" s="37"/>
      <c r="D60" s="42"/>
      <c r="E60" s="46"/>
      <c r="F60" s="38"/>
      <c r="G60" s="38">
        <v>2023</v>
      </c>
      <c r="H60" s="39">
        <v>14</v>
      </c>
    </row>
    <row r="61" spans="1:8" x14ac:dyDescent="0.25">
      <c r="A61" s="40">
        <v>1020</v>
      </c>
      <c r="B61" s="41" t="s">
        <v>202</v>
      </c>
      <c r="C61" s="37"/>
      <c r="D61" s="42"/>
      <c r="E61" s="46"/>
      <c r="F61" s="38"/>
      <c r="G61" s="38">
        <v>2024</v>
      </c>
      <c r="H61" s="39">
        <v>3.5</v>
      </c>
    </row>
    <row r="62" spans="1:8" x14ac:dyDescent="0.25">
      <c r="A62" s="40">
        <v>2031</v>
      </c>
      <c r="B62" s="41" t="s">
        <v>180</v>
      </c>
      <c r="C62" s="37"/>
      <c r="D62" s="42"/>
      <c r="E62" s="46"/>
      <c r="F62" s="38"/>
      <c r="G62" s="38">
        <v>2024</v>
      </c>
      <c r="H62" s="39">
        <v>2</v>
      </c>
    </row>
    <row r="63" spans="1:8" x14ac:dyDescent="0.25">
      <c r="A63" s="40">
        <v>2051</v>
      </c>
      <c r="B63" s="41" t="s">
        <v>279</v>
      </c>
      <c r="C63" s="37"/>
      <c r="D63" s="42"/>
      <c r="E63" s="46"/>
      <c r="F63" s="38"/>
      <c r="G63" s="38">
        <v>2025</v>
      </c>
      <c r="H63" s="39">
        <v>28</v>
      </c>
    </row>
    <row r="64" spans="1:8" x14ac:dyDescent="0.25">
      <c r="A64" s="40"/>
      <c r="B64" s="41"/>
      <c r="C64" s="37"/>
      <c r="D64" s="42"/>
      <c r="E64" s="46"/>
      <c r="F64" s="38"/>
      <c r="G64" s="38"/>
      <c r="H64" s="39"/>
    </row>
    <row r="65" spans="1:8" x14ac:dyDescent="0.25">
      <c r="A65" s="40"/>
      <c r="B65" s="41"/>
      <c r="C65" s="37"/>
      <c r="D65" s="42"/>
      <c r="E65" s="46"/>
      <c r="F65" s="38"/>
      <c r="G65" s="38"/>
      <c r="H65" s="43"/>
    </row>
    <row r="66" spans="1:8" x14ac:dyDescent="0.25">
      <c r="A66" s="40"/>
      <c r="B66" s="41"/>
      <c r="C66" s="37"/>
      <c r="D66" s="42"/>
      <c r="E66" s="46"/>
      <c r="F66" s="38"/>
      <c r="G66" s="38"/>
      <c r="H66" s="43"/>
    </row>
    <row r="67" spans="1:8" x14ac:dyDescent="0.25">
      <c r="A67" s="40"/>
      <c r="B67" s="41"/>
      <c r="C67" s="37"/>
      <c r="D67" s="42"/>
      <c r="E67" s="46"/>
      <c r="F67" s="38"/>
      <c r="G67" s="38"/>
      <c r="H67" s="43"/>
    </row>
    <row r="68" spans="1:8" x14ac:dyDescent="0.25">
      <c r="A68" s="40"/>
      <c r="B68" s="41"/>
      <c r="C68" s="37"/>
      <c r="D68" s="42"/>
      <c r="E68" s="46"/>
      <c r="F68" s="38"/>
      <c r="G68" s="38"/>
      <c r="H68" s="43"/>
    </row>
    <row r="69" spans="1:8" x14ac:dyDescent="0.25">
      <c r="A69" s="40"/>
      <c r="B69" s="41"/>
      <c r="C69" s="37"/>
      <c r="D69" s="42"/>
      <c r="E69" s="46"/>
      <c r="F69" s="38"/>
      <c r="G69" s="38"/>
      <c r="H69" s="43"/>
    </row>
    <row r="70" spans="1:8" x14ac:dyDescent="0.25">
      <c r="A70" s="40"/>
      <c r="B70" s="41"/>
      <c r="C70" s="37"/>
      <c r="D70" s="42"/>
      <c r="E70" s="46"/>
      <c r="F70" s="38"/>
      <c r="G70" s="38"/>
      <c r="H70" s="43"/>
    </row>
    <row r="71" spans="1:8" x14ac:dyDescent="0.25">
      <c r="A71" s="40"/>
      <c r="B71" s="41"/>
      <c r="C71" s="37"/>
      <c r="D71" s="42"/>
      <c r="E71" s="46"/>
      <c r="F71" s="38"/>
      <c r="G71" s="38"/>
      <c r="H71" s="43"/>
    </row>
    <row r="72" spans="1:8" x14ac:dyDescent="0.25">
      <c r="A72" s="40"/>
      <c r="B72" s="41"/>
      <c r="C72" s="37"/>
      <c r="D72" s="42"/>
      <c r="E72" s="46"/>
      <c r="F72" s="38"/>
      <c r="G72" s="38"/>
      <c r="H72" s="43"/>
    </row>
    <row r="73" spans="1:8" x14ac:dyDescent="0.25">
      <c r="A73" s="40"/>
      <c r="B73" s="41"/>
      <c r="C73" s="37"/>
      <c r="D73" s="42"/>
      <c r="E73" s="46"/>
      <c r="F73" s="38"/>
      <c r="G73" s="38"/>
      <c r="H73" s="43"/>
    </row>
    <row r="74" spans="1:8" x14ac:dyDescent="0.25">
      <c r="A74" s="40"/>
      <c r="B74" s="41"/>
      <c r="C74" s="37"/>
      <c r="D74" s="42"/>
      <c r="E74" s="46"/>
      <c r="F74" s="38"/>
      <c r="G74" s="38"/>
      <c r="H74" s="43"/>
    </row>
    <row r="75" spans="1:8" x14ac:dyDescent="0.25">
      <c r="A75" s="40"/>
      <c r="B75" s="41"/>
      <c r="C75" s="37"/>
      <c r="D75" s="42"/>
      <c r="E75" s="46"/>
      <c r="F75" s="38"/>
      <c r="G75" s="38"/>
      <c r="H75" s="43"/>
    </row>
    <row r="76" spans="1:8" x14ac:dyDescent="0.25">
      <c r="A76" s="40"/>
      <c r="B76" s="41"/>
      <c r="C76" s="37"/>
      <c r="D76" s="42"/>
      <c r="E76" s="46"/>
      <c r="F76" s="38"/>
      <c r="G76" s="38"/>
      <c r="H76" s="43"/>
    </row>
    <row r="77" spans="1:8" x14ac:dyDescent="0.25">
      <c r="A77" s="40"/>
      <c r="B77" s="41"/>
      <c r="C77" s="37"/>
      <c r="D77" s="42"/>
      <c r="E77" s="46"/>
      <c r="F77" s="38"/>
      <c r="G77" s="38"/>
      <c r="H77" s="43"/>
    </row>
    <row r="78" spans="1:8" x14ac:dyDescent="0.25">
      <c r="A78" s="40"/>
      <c r="B78" s="41"/>
      <c r="C78" s="37"/>
      <c r="D78" s="42"/>
      <c r="E78" s="46"/>
      <c r="F78" s="38"/>
      <c r="G78" s="38"/>
      <c r="H78" s="43"/>
    </row>
    <row r="79" spans="1:8" x14ac:dyDescent="0.25">
      <c r="A79" s="40"/>
      <c r="B79" s="41"/>
      <c r="C79" s="37"/>
      <c r="D79" s="42"/>
      <c r="E79" s="46"/>
      <c r="F79" s="38"/>
      <c r="G79" s="38"/>
      <c r="H79" s="43"/>
    </row>
    <row r="80" spans="1:8" x14ac:dyDescent="0.25">
      <c r="A80" s="40"/>
      <c r="B80" s="41"/>
      <c r="C80" s="37"/>
      <c r="D80" s="42"/>
      <c r="E80" s="46"/>
      <c r="F80" s="38"/>
      <c r="G80" s="38"/>
      <c r="H80" s="43"/>
    </row>
    <row r="81" spans="1:8" x14ac:dyDescent="0.25">
      <c r="A81" s="40"/>
      <c r="B81" s="41"/>
      <c r="C81" s="37"/>
      <c r="D81" s="42"/>
      <c r="E81" s="46"/>
      <c r="F81" s="38"/>
      <c r="G81" s="38"/>
      <c r="H81" s="43"/>
    </row>
    <row r="82" spans="1:8" x14ac:dyDescent="0.25">
      <c r="A82" s="40"/>
      <c r="B82" s="41"/>
      <c r="C82" s="37"/>
      <c r="D82" s="42"/>
      <c r="E82" s="46"/>
      <c r="F82" s="38"/>
      <c r="G82" s="38"/>
      <c r="H82" s="43"/>
    </row>
    <row r="83" spans="1:8" x14ac:dyDescent="0.25">
      <c r="A83" s="40"/>
      <c r="B83" s="41"/>
      <c r="C83" s="37"/>
      <c r="D83" s="42"/>
      <c r="E83" s="46"/>
      <c r="F83" s="38"/>
      <c r="G83" s="38"/>
      <c r="H83" s="43"/>
    </row>
    <row r="84" spans="1:8" x14ac:dyDescent="0.25">
      <c r="A84" s="40"/>
      <c r="B84" s="41"/>
      <c r="C84" s="37"/>
      <c r="D84" s="42"/>
      <c r="E84" s="46"/>
      <c r="F84" s="38"/>
      <c r="G84" s="38"/>
      <c r="H84" s="43"/>
    </row>
    <row r="85" spans="1:8" x14ac:dyDescent="0.25">
      <c r="A85" s="40"/>
      <c r="B85" s="41"/>
      <c r="C85" s="37"/>
      <c r="D85" s="42"/>
      <c r="E85" s="46"/>
      <c r="F85" s="38"/>
      <c r="G85" s="38"/>
      <c r="H85" s="43"/>
    </row>
    <row r="86" spans="1:8" x14ac:dyDescent="0.25">
      <c r="A86" s="40"/>
      <c r="B86" s="41"/>
      <c r="C86" s="37"/>
      <c r="D86" s="42"/>
      <c r="E86" s="46"/>
      <c r="F86" s="38"/>
      <c r="G86" s="38"/>
      <c r="H86" s="43"/>
    </row>
    <row r="87" spans="1:8" x14ac:dyDescent="0.25">
      <c r="A87" s="40"/>
      <c r="B87" s="41"/>
      <c r="C87" s="37"/>
      <c r="D87" s="42"/>
      <c r="E87" s="46"/>
      <c r="F87" s="38"/>
      <c r="G87" s="38"/>
      <c r="H87" s="43"/>
    </row>
    <row r="88" spans="1:8" x14ac:dyDescent="0.25">
      <c r="A88" s="40"/>
      <c r="B88" s="41"/>
      <c r="C88" s="37"/>
      <c r="D88" s="42"/>
      <c r="E88" s="46"/>
      <c r="F88" s="38"/>
      <c r="G88" s="38"/>
      <c r="H88" s="43"/>
    </row>
    <row r="89" spans="1:8" x14ac:dyDescent="0.25">
      <c r="A89" s="40"/>
      <c r="B89" s="41"/>
      <c r="C89" s="37"/>
      <c r="D89" s="42"/>
      <c r="E89" s="46"/>
      <c r="F89" s="38"/>
      <c r="G89" s="38"/>
      <c r="H89" s="43"/>
    </row>
    <row r="90" spans="1:8" x14ac:dyDescent="0.25">
      <c r="A90" s="40"/>
      <c r="B90" s="41"/>
      <c r="C90" s="37"/>
      <c r="D90" s="42"/>
      <c r="E90" s="46"/>
      <c r="F90" s="38"/>
      <c r="G90" s="38"/>
      <c r="H90" s="43"/>
    </row>
    <row r="91" spans="1:8" x14ac:dyDescent="0.25">
      <c r="A91" s="40"/>
      <c r="B91" s="41"/>
      <c r="C91" s="37"/>
      <c r="D91" s="42"/>
      <c r="E91" s="46"/>
      <c r="F91" s="38"/>
      <c r="G91" s="38"/>
      <c r="H91" s="43"/>
    </row>
    <row r="92" spans="1:8" x14ac:dyDescent="0.25">
      <c r="A92" s="40"/>
      <c r="B92" s="41"/>
      <c r="C92" s="37"/>
      <c r="D92" s="42"/>
      <c r="E92" s="46"/>
      <c r="F92" s="38"/>
      <c r="G92" s="38"/>
      <c r="H92" s="43"/>
    </row>
    <row r="93" spans="1:8" x14ac:dyDescent="0.25">
      <c r="A93" s="40"/>
      <c r="B93" s="41"/>
      <c r="C93" s="37"/>
      <c r="D93" s="42"/>
      <c r="E93" s="46"/>
      <c r="F93" s="38"/>
      <c r="G93" s="38"/>
      <c r="H93" s="43"/>
    </row>
    <row r="94" spans="1:8" x14ac:dyDescent="0.25">
      <c r="A94" s="40"/>
      <c r="B94" s="41"/>
      <c r="C94" s="37"/>
      <c r="D94" s="42"/>
      <c r="E94" s="46"/>
      <c r="F94" s="38"/>
      <c r="G94" s="38"/>
      <c r="H94" s="43"/>
    </row>
    <row r="95" spans="1:8" x14ac:dyDescent="0.25">
      <c r="A95" s="40"/>
      <c r="B95" s="41"/>
      <c r="C95" s="37"/>
      <c r="D95" s="42"/>
      <c r="E95" s="46"/>
      <c r="F95" s="38"/>
      <c r="G95" s="38"/>
      <c r="H95" s="43"/>
    </row>
    <row r="96" spans="1:8" x14ac:dyDescent="0.25">
      <c r="A96" s="40"/>
      <c r="B96" s="41"/>
      <c r="C96" s="37"/>
      <c r="D96" s="42"/>
      <c r="E96" s="46"/>
      <c r="F96" s="38"/>
      <c r="G96" s="38"/>
      <c r="H96" s="43"/>
    </row>
    <row r="97" spans="1:8" x14ac:dyDescent="0.25">
      <c r="A97" s="40"/>
      <c r="B97" s="41"/>
      <c r="C97" s="37"/>
      <c r="D97" s="42"/>
      <c r="E97" s="46"/>
      <c r="F97" s="38"/>
      <c r="G97" s="38"/>
      <c r="H97" s="43"/>
    </row>
    <row r="98" spans="1:8" x14ac:dyDescent="0.25">
      <c r="A98" s="40"/>
      <c r="B98" s="41"/>
      <c r="C98" s="37"/>
      <c r="D98" s="42"/>
      <c r="E98" s="46"/>
      <c r="F98" s="38"/>
      <c r="G98" s="38"/>
      <c r="H98" s="43"/>
    </row>
    <row r="99" spans="1:8" x14ac:dyDescent="0.25">
      <c r="A99" s="40"/>
      <c r="B99" s="41"/>
      <c r="C99" s="37"/>
      <c r="D99" s="42"/>
      <c r="E99" s="46"/>
      <c r="F99" s="38"/>
      <c r="G99" s="38"/>
      <c r="H99" s="43"/>
    </row>
    <row r="100" spans="1:8" x14ac:dyDescent="0.25">
      <c r="A100" s="40"/>
      <c r="B100" s="41"/>
      <c r="C100" s="37"/>
      <c r="D100" s="42"/>
      <c r="E100" s="46"/>
      <c r="F100" s="38"/>
      <c r="G100" s="38"/>
      <c r="H100" s="43"/>
    </row>
    <row r="101" spans="1:8" x14ac:dyDescent="0.25">
      <c r="A101" s="40"/>
      <c r="B101" s="41"/>
      <c r="C101" s="37"/>
      <c r="D101" s="42"/>
      <c r="E101" s="46"/>
      <c r="F101" s="38"/>
      <c r="G101" s="38"/>
      <c r="H101" s="43"/>
    </row>
    <row r="102" spans="1:8" x14ac:dyDescent="0.25">
      <c r="A102" s="40"/>
      <c r="B102" s="41"/>
      <c r="C102" s="37"/>
      <c r="D102" s="42"/>
      <c r="E102" s="46"/>
      <c r="F102" s="38"/>
      <c r="G102" s="38"/>
      <c r="H102" s="43"/>
    </row>
    <row r="103" spans="1:8" x14ac:dyDescent="0.25">
      <c r="A103" s="40"/>
      <c r="B103" s="41"/>
      <c r="C103" s="37"/>
      <c r="D103" s="42"/>
      <c r="E103" s="46"/>
      <c r="F103" s="38"/>
      <c r="G103" s="38"/>
      <c r="H103" s="43"/>
    </row>
    <row r="104" spans="1:8" x14ac:dyDescent="0.25">
      <c r="A104" s="40"/>
      <c r="B104" s="41"/>
      <c r="C104" s="37"/>
      <c r="D104" s="42"/>
      <c r="E104" s="46"/>
      <c r="F104" s="38"/>
      <c r="G104" s="38"/>
      <c r="H104" s="43"/>
    </row>
    <row r="105" spans="1:8" x14ac:dyDescent="0.25">
      <c r="A105" s="40"/>
      <c r="B105" s="41"/>
      <c r="C105" s="37"/>
      <c r="D105" s="42"/>
      <c r="E105" s="46"/>
      <c r="F105" s="38"/>
      <c r="G105" s="38"/>
      <c r="H105" s="43"/>
    </row>
    <row r="106" spans="1:8" x14ac:dyDescent="0.25">
      <c r="A106" s="40"/>
      <c r="B106" s="41"/>
      <c r="C106" s="37"/>
      <c r="D106" s="42"/>
      <c r="E106" s="46"/>
      <c r="F106" s="38"/>
      <c r="G106" s="38"/>
      <c r="H106" s="43"/>
    </row>
    <row r="107" spans="1:8" x14ac:dyDescent="0.25">
      <c r="A107" s="40"/>
      <c r="B107" s="41"/>
      <c r="C107" s="37"/>
      <c r="D107" s="42"/>
      <c r="E107" s="46"/>
      <c r="F107" s="38"/>
      <c r="G107" s="38"/>
      <c r="H107" s="43"/>
    </row>
    <row r="108" spans="1:8" x14ac:dyDescent="0.25">
      <c r="A108" s="40"/>
      <c r="B108" s="41"/>
      <c r="C108" s="37"/>
      <c r="D108" s="42"/>
      <c r="E108" s="46"/>
      <c r="F108" s="38"/>
      <c r="G108" s="38"/>
      <c r="H108" s="43"/>
    </row>
    <row r="109" spans="1:8" x14ac:dyDescent="0.25">
      <c r="A109" s="40"/>
      <c r="B109" s="41"/>
      <c r="C109" s="37"/>
      <c r="D109" s="42"/>
      <c r="E109" s="46"/>
      <c r="F109" s="38"/>
      <c r="G109" s="38"/>
      <c r="H109" s="43"/>
    </row>
    <row r="110" spans="1:8" x14ac:dyDescent="0.25">
      <c r="A110" s="40"/>
      <c r="B110" s="41"/>
      <c r="C110" s="37"/>
      <c r="D110" s="42"/>
      <c r="E110" s="46"/>
      <c r="F110" s="38"/>
      <c r="G110" s="38"/>
      <c r="H110" s="43"/>
    </row>
    <row r="111" spans="1:8" x14ac:dyDescent="0.25">
      <c r="A111" s="40"/>
      <c r="B111" s="41"/>
      <c r="C111" s="37"/>
      <c r="D111" s="42"/>
      <c r="E111" s="46"/>
      <c r="F111" s="38"/>
      <c r="G111" s="38"/>
      <c r="H111" s="43"/>
    </row>
    <row r="112" spans="1:8" x14ac:dyDescent="0.25">
      <c r="A112" s="40"/>
      <c r="B112" s="41"/>
      <c r="C112" s="37"/>
      <c r="D112" s="42"/>
      <c r="E112" s="46"/>
      <c r="F112" s="38"/>
      <c r="G112" s="38"/>
      <c r="H112" s="43"/>
    </row>
    <row r="113" spans="1:8" x14ac:dyDescent="0.25">
      <c r="A113" s="40"/>
      <c r="B113" s="41"/>
      <c r="C113" s="37"/>
      <c r="D113" s="42"/>
      <c r="E113" s="46"/>
      <c r="F113" s="38"/>
      <c r="G113" s="38"/>
      <c r="H113" s="43"/>
    </row>
    <row r="114" spans="1:8" x14ac:dyDescent="0.25">
      <c r="A114" s="40"/>
      <c r="B114" s="41"/>
      <c r="C114" s="37"/>
      <c r="D114" s="42"/>
      <c r="E114" s="46"/>
      <c r="F114" s="38"/>
      <c r="G114" s="38"/>
      <c r="H114" s="43"/>
    </row>
    <row r="115" spans="1:8" x14ac:dyDescent="0.25">
      <c r="A115" s="40"/>
      <c r="B115" s="41"/>
      <c r="C115" s="37"/>
      <c r="D115" s="42"/>
      <c r="E115" s="46"/>
      <c r="F115" s="38"/>
      <c r="G115" s="38"/>
      <c r="H115" s="43"/>
    </row>
    <row r="116" spans="1:8" x14ac:dyDescent="0.25">
      <c r="A116" s="40"/>
      <c r="B116" s="41"/>
      <c r="C116" s="37"/>
      <c r="D116" s="42"/>
      <c r="E116" s="46"/>
      <c r="F116" s="38"/>
      <c r="G116" s="38"/>
      <c r="H116" s="43"/>
    </row>
    <row r="117" spans="1:8" x14ac:dyDescent="0.25">
      <c r="A117" s="40"/>
      <c r="B117" s="41"/>
      <c r="C117" s="37"/>
      <c r="D117" s="42"/>
      <c r="E117" s="46"/>
      <c r="F117" s="38"/>
      <c r="G117" s="38"/>
      <c r="H117" s="43"/>
    </row>
    <row r="118" spans="1:8" x14ac:dyDescent="0.25">
      <c r="A118" s="40"/>
      <c r="B118" s="41"/>
      <c r="C118" s="37"/>
      <c r="D118" s="42"/>
      <c r="E118" s="46"/>
      <c r="F118" s="38"/>
      <c r="G118" s="38"/>
      <c r="H118" s="43"/>
    </row>
    <row r="119" spans="1:8" x14ac:dyDescent="0.25">
      <c r="A119" s="40"/>
      <c r="B119" s="41"/>
      <c r="C119" s="37"/>
      <c r="D119" s="42"/>
      <c r="E119" s="46"/>
      <c r="F119" s="38"/>
      <c r="G119" s="38"/>
      <c r="H119" s="43"/>
    </row>
    <row r="120" spans="1:8" x14ac:dyDescent="0.25">
      <c r="A120" s="40"/>
      <c r="B120" s="41"/>
      <c r="C120" s="37"/>
      <c r="D120" s="42"/>
      <c r="E120" s="46"/>
      <c r="F120" s="38"/>
      <c r="G120" s="38"/>
      <c r="H120" s="43"/>
    </row>
    <row r="121" spans="1:8" x14ac:dyDescent="0.25">
      <c r="A121" s="40"/>
      <c r="B121" s="41"/>
      <c r="C121" s="37"/>
      <c r="D121" s="42"/>
      <c r="E121" s="46"/>
      <c r="F121" s="38"/>
      <c r="G121" s="38"/>
      <c r="H121" s="43"/>
    </row>
    <row r="122" spans="1:8" x14ac:dyDescent="0.25">
      <c r="A122" s="40"/>
      <c r="B122" s="41"/>
      <c r="C122" s="37"/>
      <c r="D122" s="42"/>
      <c r="E122" s="46"/>
      <c r="F122" s="38"/>
      <c r="G122" s="38"/>
      <c r="H122" s="43"/>
    </row>
    <row r="123" spans="1:8" x14ac:dyDescent="0.25">
      <c r="A123" s="40"/>
      <c r="B123" s="41"/>
      <c r="C123" s="37"/>
      <c r="D123" s="42"/>
      <c r="E123" s="46"/>
      <c r="F123" s="38"/>
      <c r="G123" s="38"/>
      <c r="H123" s="43"/>
    </row>
    <row r="124" spans="1:8" x14ac:dyDescent="0.25">
      <c r="A124" s="40"/>
      <c r="B124" s="41"/>
      <c r="C124" s="37"/>
      <c r="D124" s="42"/>
      <c r="E124" s="46"/>
      <c r="F124" s="38"/>
      <c r="G124" s="38"/>
      <c r="H124" s="43"/>
    </row>
    <row r="125" spans="1:8" x14ac:dyDescent="0.25">
      <c r="A125" s="40"/>
      <c r="B125" s="41"/>
      <c r="C125" s="37"/>
      <c r="D125" s="42"/>
      <c r="E125" s="46"/>
      <c r="F125" s="38"/>
      <c r="G125" s="38"/>
      <c r="H125" s="43"/>
    </row>
    <row r="126" spans="1:8" x14ac:dyDescent="0.25">
      <c r="A126" s="40"/>
      <c r="B126" s="41"/>
      <c r="C126" s="37"/>
      <c r="D126" s="42"/>
      <c r="E126" s="46"/>
      <c r="F126" s="38"/>
      <c r="G126" s="38"/>
      <c r="H126" s="43"/>
    </row>
    <row r="127" spans="1:8" x14ac:dyDescent="0.25">
      <c r="A127" s="40"/>
      <c r="B127" s="41"/>
      <c r="C127" s="37"/>
      <c r="D127" s="42"/>
      <c r="E127" s="46"/>
      <c r="F127" s="38"/>
      <c r="G127" s="38"/>
      <c r="H127" s="43"/>
    </row>
    <row r="128" spans="1:8" x14ac:dyDescent="0.25">
      <c r="A128" s="40"/>
      <c r="B128" s="41"/>
      <c r="C128" s="37"/>
      <c r="D128" s="42"/>
      <c r="E128" s="46"/>
      <c r="F128" s="38"/>
      <c r="G128" s="38"/>
      <c r="H128" s="43"/>
    </row>
    <row r="129" spans="1:8" x14ac:dyDescent="0.25">
      <c r="A129" s="40"/>
      <c r="B129" s="41"/>
      <c r="C129" s="37"/>
      <c r="D129" s="42"/>
      <c r="E129" s="46"/>
      <c r="F129" s="38"/>
      <c r="G129" s="38"/>
      <c r="H129" s="43"/>
    </row>
    <row r="130" spans="1:8" x14ac:dyDescent="0.25">
      <c r="A130" s="40"/>
      <c r="B130" s="41"/>
      <c r="C130" s="37"/>
      <c r="D130" s="42"/>
      <c r="E130" s="46"/>
      <c r="F130" s="38"/>
      <c r="G130" s="38"/>
      <c r="H130" s="43"/>
    </row>
    <row r="131" spans="1:8" x14ac:dyDescent="0.25">
      <c r="A131" s="40"/>
      <c r="B131" s="41"/>
      <c r="C131" s="37"/>
      <c r="D131" s="42"/>
      <c r="E131" s="46"/>
      <c r="F131" s="38"/>
      <c r="G131" s="38"/>
      <c r="H131" s="43"/>
    </row>
    <row r="132" spans="1:8" x14ac:dyDescent="0.25">
      <c r="A132" s="40"/>
      <c r="B132" s="41"/>
      <c r="C132" s="37"/>
      <c r="D132" s="42"/>
      <c r="E132" s="46"/>
      <c r="F132" s="38"/>
      <c r="G132" s="38"/>
      <c r="H132" s="43"/>
    </row>
    <row r="133" spans="1:8" ht="15.75" thickBot="1" x14ac:dyDescent="0.3">
      <c r="A133" s="30"/>
      <c r="B133" s="27"/>
      <c r="C133" s="28"/>
      <c r="D133" s="31"/>
      <c r="E133" s="47"/>
      <c r="F133" s="57"/>
      <c r="G133" s="57"/>
      <c r="H133" s="29"/>
    </row>
  </sheetData>
  <pageMargins left="0.39370078740157483" right="0.39370078740157483" top="0.39370078740157483" bottom="0.39370078740157483" header="0.31496062992125984" footer="0.31496062992125984"/>
  <pageSetup paperSize="9" scale="69" fitToHeight="2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8"/>
  <sheetViews>
    <sheetView topLeftCell="A4" workbookViewId="0">
      <selection activeCell="C15" sqref="C15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8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8" ht="18.75" x14ac:dyDescent="0.3">
      <c r="A2" s="19"/>
      <c r="B2" s="24"/>
      <c r="D2" s="19"/>
      <c r="E2" s="19"/>
      <c r="F2" s="55"/>
    </row>
    <row r="3" spans="1:8" ht="18.75" x14ac:dyDescent="0.3">
      <c r="A3" s="20" t="s">
        <v>251</v>
      </c>
      <c r="C3" s="25">
        <v>59</v>
      </c>
      <c r="D3" s="19"/>
      <c r="E3" s="19"/>
      <c r="F3" s="55"/>
    </row>
    <row r="4" spans="1:8" ht="18.75" x14ac:dyDescent="0.3">
      <c r="A4" s="19"/>
      <c r="B4" s="24"/>
      <c r="D4" s="19"/>
      <c r="E4" s="19"/>
      <c r="F4" s="55"/>
    </row>
    <row r="5" spans="1:8" ht="18.75" x14ac:dyDescent="0.3">
      <c r="A5" s="20" t="s">
        <v>256</v>
      </c>
      <c r="C5" s="26" t="str">
        <f>VLOOKUP(C3,'Liste salariés'!A3:G104,2,FALSE)</f>
        <v>SARALEGUI Eric</v>
      </c>
      <c r="D5" s="19"/>
      <c r="E5" s="19"/>
      <c r="F5" s="55"/>
    </row>
    <row r="6" spans="1:8" ht="39.75" customHeight="1" x14ac:dyDescent="0.3">
      <c r="A6" s="20" t="s">
        <v>252</v>
      </c>
      <c r="C6" s="23">
        <f>VLOOKUP(C3,'Liste salariés'!A3:J103,6,FALSE)</f>
        <v>24510</v>
      </c>
      <c r="D6" s="20" t="s">
        <v>253</v>
      </c>
      <c r="E6" s="49">
        <f ca="1">(B1-C6)/365</f>
        <v>59.128767123287673</v>
      </c>
      <c r="F6" s="48"/>
    </row>
    <row r="7" spans="1:8" ht="26.25" customHeight="1" x14ac:dyDescent="0.3">
      <c r="A7" s="20" t="s">
        <v>254</v>
      </c>
      <c r="C7" s="23">
        <f>VLOOKUP(C3,'Liste salariés'!A3:J105,3,FALSE)</f>
        <v>33298</v>
      </c>
      <c r="D7" s="20" t="s">
        <v>255</v>
      </c>
      <c r="E7" s="49">
        <f ca="1">(B1-C7)/365</f>
        <v>35.052054794520551</v>
      </c>
      <c r="F7" s="48"/>
    </row>
    <row r="8" spans="1:8" x14ac:dyDescent="0.25">
      <c r="B8"/>
    </row>
    <row r="9" spans="1:8" x14ac:dyDescent="0.25">
      <c r="B9"/>
    </row>
    <row r="10" spans="1:8" ht="18.75" x14ac:dyDescent="0.3">
      <c r="A10" s="20" t="s">
        <v>257</v>
      </c>
      <c r="B10"/>
    </row>
    <row r="11" spans="1:8" ht="15.75" thickBot="1" x14ac:dyDescent="0.3"/>
    <row r="12" spans="1:8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8" ht="20.100000000000001" customHeight="1" x14ac:dyDescent="0.25">
      <c r="A13" s="32">
        <v>3002</v>
      </c>
      <c r="B13" s="60" t="s">
        <v>24</v>
      </c>
      <c r="C13" s="33"/>
      <c r="D13" s="44"/>
      <c r="E13" s="45"/>
      <c r="F13" s="34"/>
      <c r="G13" s="34">
        <v>2011</v>
      </c>
      <c r="H13" s="35">
        <v>151.66999999999999</v>
      </c>
    </row>
    <row r="14" spans="1:8" ht="20.100000000000001" customHeight="1" x14ac:dyDescent="0.25">
      <c r="A14" s="36">
        <v>3039</v>
      </c>
      <c r="B14" s="59" t="s">
        <v>28</v>
      </c>
      <c r="C14" s="37"/>
      <c r="D14" s="42"/>
      <c r="E14" s="46"/>
      <c r="F14" s="38"/>
      <c r="G14" s="38">
        <v>2011</v>
      </c>
      <c r="H14" s="39">
        <v>151.66999999999999</v>
      </c>
    </row>
    <row r="15" spans="1:8" ht="20.100000000000001" customHeight="1" x14ac:dyDescent="0.25">
      <c r="A15" s="36">
        <v>1010</v>
      </c>
      <c r="B15" s="59" t="s">
        <v>222</v>
      </c>
      <c r="C15" s="37"/>
      <c r="D15" s="42"/>
      <c r="E15" s="46"/>
      <c r="F15" s="38"/>
      <c r="G15" s="38">
        <v>2012</v>
      </c>
      <c r="H15" s="39">
        <v>2.5</v>
      </c>
    </row>
    <row r="16" spans="1:8" ht="20.100000000000001" customHeight="1" x14ac:dyDescent="0.25">
      <c r="A16" s="36">
        <v>3039</v>
      </c>
      <c r="B16" s="59" t="s">
        <v>28</v>
      </c>
      <c r="C16" s="37"/>
      <c r="D16" s="42"/>
      <c r="E16" s="46"/>
      <c r="F16" s="38"/>
      <c r="G16" s="38">
        <v>2013</v>
      </c>
      <c r="H16" s="39">
        <v>151.66999999999999</v>
      </c>
    </row>
    <row r="17" spans="1:8" ht="20.100000000000001" customHeight="1" x14ac:dyDescent="0.25">
      <c r="A17" s="36">
        <v>3039</v>
      </c>
      <c r="B17" s="59" t="s">
        <v>28</v>
      </c>
      <c r="C17" s="37"/>
      <c r="D17" s="42"/>
      <c r="E17" s="46"/>
      <c r="F17" s="38"/>
      <c r="G17" s="38">
        <v>2017</v>
      </c>
      <c r="H17" s="39">
        <v>151.66999999999999</v>
      </c>
    </row>
    <row r="18" spans="1:8" ht="20.100000000000001" customHeight="1" x14ac:dyDescent="0.25">
      <c r="A18" s="36">
        <v>3002</v>
      </c>
      <c r="B18" s="59" t="s">
        <v>24</v>
      </c>
      <c r="C18" s="37"/>
      <c r="D18" s="42"/>
      <c r="E18" s="46"/>
      <c r="F18" s="38"/>
      <c r="G18" s="38">
        <v>2017</v>
      </c>
      <c r="H18" s="39">
        <v>151.66999999999999</v>
      </c>
    </row>
    <row r="19" spans="1:8" ht="20.100000000000001" customHeight="1" x14ac:dyDescent="0.25">
      <c r="A19" s="36">
        <v>2007</v>
      </c>
      <c r="B19" s="59" t="s">
        <v>245</v>
      </c>
      <c r="C19" s="37"/>
      <c r="D19" s="42"/>
      <c r="E19" s="46"/>
      <c r="F19" s="38"/>
      <c r="G19" s="38">
        <v>2017</v>
      </c>
      <c r="H19" s="39">
        <v>7</v>
      </c>
    </row>
    <row r="20" spans="1:8" ht="20.100000000000001" customHeight="1" x14ac:dyDescent="0.25">
      <c r="A20" s="36">
        <v>3006</v>
      </c>
      <c r="B20" s="59" t="s">
        <v>25</v>
      </c>
      <c r="C20" s="37"/>
      <c r="D20" s="42"/>
      <c r="E20" s="46"/>
      <c r="F20" s="38"/>
      <c r="G20" s="38">
        <v>2018</v>
      </c>
      <c r="H20" s="39">
        <v>151.66999999999999</v>
      </c>
    </row>
    <row r="21" spans="1:8" ht="20.100000000000001" customHeight="1" x14ac:dyDescent="0.25">
      <c r="A21" s="36">
        <v>1022</v>
      </c>
      <c r="B21" s="59" t="s">
        <v>220</v>
      </c>
      <c r="C21" s="37"/>
      <c r="D21" s="42"/>
      <c r="E21" s="46"/>
      <c r="F21" s="38"/>
      <c r="G21" s="38">
        <v>2019</v>
      </c>
      <c r="H21" s="39">
        <v>0.16</v>
      </c>
    </row>
    <row r="22" spans="1:8" ht="20.100000000000001" customHeight="1" x14ac:dyDescent="0.25">
      <c r="A22" s="36">
        <v>3002</v>
      </c>
      <c r="B22" s="59" t="s">
        <v>24</v>
      </c>
      <c r="C22" s="37"/>
      <c r="D22" s="42"/>
      <c r="E22" s="46"/>
      <c r="F22" s="38"/>
      <c r="G22" s="38">
        <v>2019</v>
      </c>
      <c r="H22" s="39">
        <v>151.66999999999999</v>
      </c>
    </row>
    <row r="23" spans="1:8" ht="20.100000000000001" customHeight="1" x14ac:dyDescent="0.25">
      <c r="A23" s="36">
        <v>3006</v>
      </c>
      <c r="B23" s="59" t="s">
        <v>25</v>
      </c>
      <c r="C23" s="37"/>
      <c r="D23" s="42"/>
      <c r="E23" s="46"/>
      <c r="F23" s="38"/>
      <c r="G23" s="38">
        <v>2019</v>
      </c>
      <c r="H23" s="39">
        <v>151.66999999999999</v>
      </c>
    </row>
    <row r="24" spans="1:8" ht="20.100000000000001" customHeight="1" x14ac:dyDescent="0.25">
      <c r="A24" s="36">
        <v>3039</v>
      </c>
      <c r="B24" s="59" t="s">
        <v>28</v>
      </c>
      <c r="C24" s="37"/>
      <c r="D24" s="42"/>
      <c r="E24" s="46"/>
      <c r="F24" s="38"/>
      <c r="G24" s="38">
        <v>2019</v>
      </c>
      <c r="H24" s="39">
        <v>151.66999999999999</v>
      </c>
    </row>
    <row r="25" spans="1:8" ht="20.100000000000001" customHeight="1" x14ac:dyDescent="0.25">
      <c r="A25" s="36">
        <v>3026</v>
      </c>
      <c r="B25" s="59" t="s">
        <v>40</v>
      </c>
      <c r="C25" s="37"/>
      <c r="D25" s="42"/>
      <c r="E25" s="46"/>
      <c r="F25" s="38"/>
      <c r="G25" s="38">
        <v>2020</v>
      </c>
      <c r="H25" s="39">
        <v>80</v>
      </c>
    </row>
    <row r="26" spans="1:8" ht="20.100000000000001" customHeight="1" x14ac:dyDescent="0.25">
      <c r="A26" s="36">
        <v>3002</v>
      </c>
      <c r="B26" s="59" t="s">
        <v>24</v>
      </c>
      <c r="C26" s="37"/>
      <c r="D26" s="42"/>
      <c r="E26" s="46"/>
      <c r="F26" s="38"/>
      <c r="G26" s="38">
        <v>2021</v>
      </c>
      <c r="H26" s="39">
        <v>151.66999999999999</v>
      </c>
    </row>
    <row r="27" spans="1:8" ht="20.100000000000001" customHeight="1" x14ac:dyDescent="0.25">
      <c r="A27" s="36">
        <v>1009</v>
      </c>
      <c r="B27" s="59" t="s">
        <v>221</v>
      </c>
      <c r="C27" s="37"/>
      <c r="D27" s="42"/>
      <c r="E27" s="46"/>
      <c r="F27" s="38"/>
      <c r="G27" s="38">
        <v>2023</v>
      </c>
      <c r="H27" s="39">
        <v>2</v>
      </c>
    </row>
    <row r="28" spans="1:8" ht="20.100000000000001" customHeight="1" x14ac:dyDescent="0.25">
      <c r="A28" s="36">
        <v>1010</v>
      </c>
      <c r="B28" s="59" t="s">
        <v>222</v>
      </c>
      <c r="C28" s="37"/>
      <c r="D28" s="42"/>
      <c r="E28" s="46"/>
      <c r="F28" s="38"/>
      <c r="G28" s="38">
        <v>2023</v>
      </c>
      <c r="H28" s="39">
        <v>2</v>
      </c>
    </row>
    <row r="29" spans="1:8" ht="20.100000000000001" customHeight="1" x14ac:dyDescent="0.25">
      <c r="A29" s="36">
        <v>1009</v>
      </c>
      <c r="B29" s="59" t="s">
        <v>221</v>
      </c>
      <c r="C29" s="37"/>
      <c r="D29" s="42"/>
      <c r="E29" s="46"/>
      <c r="F29" s="38"/>
      <c r="G29" s="38">
        <v>2024</v>
      </c>
      <c r="H29" s="39">
        <v>2</v>
      </c>
    </row>
    <row r="30" spans="1:8" ht="20.100000000000001" customHeight="1" x14ac:dyDescent="0.25">
      <c r="A30" s="36">
        <v>1010</v>
      </c>
      <c r="B30" s="59" t="s">
        <v>222</v>
      </c>
      <c r="C30" s="37"/>
      <c r="D30" s="42"/>
      <c r="E30" s="46"/>
      <c r="F30" s="38"/>
      <c r="G30" s="38">
        <v>2024</v>
      </c>
      <c r="H30" s="39">
        <v>2</v>
      </c>
    </row>
    <row r="31" spans="1:8" ht="20.100000000000001" customHeight="1" x14ac:dyDescent="0.25">
      <c r="A31" s="36"/>
      <c r="B31" s="59"/>
      <c r="C31" s="37"/>
      <c r="D31" s="42"/>
      <c r="E31" s="46"/>
      <c r="F31" s="38"/>
      <c r="G31" s="38"/>
      <c r="H31" s="39"/>
    </row>
    <row r="32" spans="1:8" ht="20.100000000000001" customHeight="1" x14ac:dyDescent="0.25">
      <c r="A32" s="36"/>
      <c r="B32" s="59"/>
      <c r="C32" s="37"/>
      <c r="D32" s="42"/>
      <c r="E32" s="46"/>
      <c r="F32" s="38"/>
      <c r="G32" s="38"/>
      <c r="H32" s="39"/>
    </row>
    <row r="33" spans="1:8" ht="20.100000000000001" customHeight="1" x14ac:dyDescent="0.25">
      <c r="A33" s="36"/>
      <c r="B33" s="37"/>
      <c r="C33" s="37"/>
      <c r="D33" s="42"/>
      <c r="E33" s="46"/>
      <c r="F33" s="38"/>
      <c r="G33" s="38"/>
      <c r="H33" s="39"/>
    </row>
    <row r="34" spans="1:8" ht="20.100000000000001" customHeight="1" x14ac:dyDescent="0.25">
      <c r="A34" s="36"/>
      <c r="B34" s="37"/>
      <c r="C34" s="37"/>
      <c r="D34" s="42"/>
      <c r="E34" s="46"/>
      <c r="F34" s="38"/>
      <c r="G34" s="38"/>
      <c r="H34" s="39"/>
    </row>
    <row r="35" spans="1:8" ht="20.100000000000001" customHeight="1" x14ac:dyDescent="0.25">
      <c r="A35" s="36"/>
      <c r="B35" s="37"/>
      <c r="C35" s="37"/>
      <c r="D35" s="42"/>
      <c r="E35" s="46"/>
      <c r="F35" s="38"/>
      <c r="G35" s="38"/>
      <c r="H35" s="39"/>
    </row>
    <row r="36" spans="1:8" ht="20.100000000000001" customHeight="1" x14ac:dyDescent="0.25">
      <c r="A36" s="36"/>
      <c r="B36" s="37"/>
      <c r="C36" s="37"/>
      <c r="D36" s="42"/>
      <c r="E36" s="46"/>
      <c r="F36" s="38"/>
      <c r="G36" s="38"/>
      <c r="H36" s="39"/>
    </row>
    <row r="37" spans="1:8" x14ac:dyDescent="0.25">
      <c r="A37" s="40"/>
      <c r="B37" s="41"/>
      <c r="C37" s="37"/>
      <c r="D37" s="42"/>
      <c r="E37" s="46"/>
      <c r="F37" s="38"/>
      <c r="G37" s="38"/>
      <c r="H37" s="39"/>
    </row>
    <row r="38" spans="1:8" x14ac:dyDescent="0.25">
      <c r="A38" s="40"/>
      <c r="B38" s="41"/>
      <c r="C38" s="37"/>
      <c r="D38" s="42"/>
      <c r="E38" s="46"/>
      <c r="F38" s="56"/>
      <c r="G38" s="38"/>
      <c r="H38" s="39"/>
    </row>
    <row r="39" spans="1:8" x14ac:dyDescent="0.25">
      <c r="A39" s="40"/>
      <c r="B39" s="41"/>
      <c r="C39" s="37"/>
      <c r="D39" s="42"/>
      <c r="E39" s="46"/>
      <c r="F39" s="38"/>
      <c r="G39" s="38"/>
      <c r="H39" s="39"/>
    </row>
    <row r="40" spans="1:8" x14ac:dyDescent="0.25">
      <c r="A40" s="40"/>
      <c r="B40" s="41"/>
      <c r="C40" s="37"/>
      <c r="D40" s="42"/>
      <c r="E40" s="46"/>
      <c r="F40" s="38"/>
      <c r="G40" s="38"/>
      <c r="H40" s="39"/>
    </row>
    <row r="41" spans="1:8" x14ac:dyDescent="0.25">
      <c r="A41" s="40"/>
      <c r="B41" s="41"/>
      <c r="C41" s="37"/>
      <c r="D41" s="42"/>
      <c r="E41" s="46"/>
      <c r="F41" s="38"/>
      <c r="G41" s="38"/>
      <c r="H41" s="39"/>
    </row>
    <row r="42" spans="1:8" x14ac:dyDescent="0.25">
      <c r="A42" s="40"/>
      <c r="B42" s="41"/>
      <c r="C42" s="37"/>
      <c r="D42" s="42"/>
      <c r="E42" s="46"/>
      <c r="F42" s="38"/>
      <c r="G42" s="38"/>
      <c r="H42" s="39"/>
    </row>
    <row r="43" spans="1:8" x14ac:dyDescent="0.25">
      <c r="A43" s="40"/>
      <c r="B43" s="41"/>
      <c r="C43" s="37"/>
      <c r="D43" s="42"/>
      <c r="E43" s="46"/>
      <c r="F43" s="38"/>
      <c r="G43" s="38"/>
      <c r="H43" s="39"/>
    </row>
    <row r="44" spans="1:8" x14ac:dyDescent="0.25">
      <c r="A44" s="40"/>
      <c r="B44" s="41"/>
      <c r="C44" s="37"/>
      <c r="D44" s="42"/>
      <c r="E44" s="46"/>
      <c r="F44" s="38"/>
      <c r="G44" s="38"/>
      <c r="H44" s="39"/>
    </row>
    <row r="45" spans="1:8" x14ac:dyDescent="0.25">
      <c r="A45" s="40"/>
      <c r="B45" s="41"/>
      <c r="C45" s="37"/>
      <c r="D45" s="42"/>
      <c r="E45" s="46"/>
      <c r="F45" s="38"/>
      <c r="G45" s="38"/>
      <c r="H45" s="39"/>
    </row>
    <row r="46" spans="1:8" x14ac:dyDescent="0.25">
      <c r="A46" s="40"/>
      <c r="B46" s="41"/>
      <c r="C46" s="37"/>
      <c r="D46" s="42"/>
      <c r="E46" s="46"/>
      <c r="F46" s="38"/>
      <c r="G46" s="38"/>
      <c r="H46" s="39"/>
    </row>
    <row r="47" spans="1:8" x14ac:dyDescent="0.25">
      <c r="A47" s="40"/>
      <c r="B47" s="41"/>
      <c r="C47" s="37"/>
      <c r="D47" s="42"/>
      <c r="E47" s="46"/>
      <c r="F47" s="38"/>
      <c r="G47" s="38"/>
      <c r="H47" s="39"/>
    </row>
    <row r="48" spans="1:8" x14ac:dyDescent="0.25">
      <c r="A48" s="40"/>
      <c r="B48" s="41"/>
      <c r="C48" s="37"/>
      <c r="D48" s="42"/>
      <c r="E48" s="46"/>
      <c r="F48" s="38"/>
      <c r="G48" s="38"/>
      <c r="H48" s="39"/>
    </row>
    <row r="49" spans="1:8" x14ac:dyDescent="0.25">
      <c r="A49" s="40"/>
      <c r="B49" s="41"/>
      <c r="C49" s="37"/>
      <c r="D49" s="42"/>
      <c r="E49" s="46"/>
      <c r="F49" s="38"/>
      <c r="G49" s="38"/>
      <c r="H49" s="39"/>
    </row>
    <row r="50" spans="1:8" x14ac:dyDescent="0.25">
      <c r="A50" s="40"/>
      <c r="B50" s="41"/>
      <c r="C50" s="37"/>
      <c r="D50" s="42"/>
      <c r="E50" s="46"/>
      <c r="F50" s="38"/>
      <c r="G50" s="38"/>
      <c r="H50" s="39"/>
    </row>
    <row r="51" spans="1:8" x14ac:dyDescent="0.25">
      <c r="A51" s="40"/>
      <c r="B51" s="41"/>
      <c r="C51" s="37"/>
      <c r="D51" s="42"/>
      <c r="E51" s="46"/>
      <c r="F51" s="38"/>
      <c r="G51" s="38"/>
      <c r="H51" s="39"/>
    </row>
    <row r="52" spans="1:8" x14ac:dyDescent="0.25">
      <c r="A52" s="40"/>
      <c r="B52" s="41"/>
      <c r="C52" s="37"/>
      <c r="D52" s="42"/>
      <c r="E52" s="46"/>
      <c r="F52" s="38"/>
      <c r="G52" s="38"/>
      <c r="H52" s="39"/>
    </row>
    <row r="53" spans="1:8" x14ac:dyDescent="0.25">
      <c r="A53" s="40"/>
      <c r="B53" s="41"/>
      <c r="C53" s="37"/>
      <c r="D53" s="42"/>
      <c r="E53" s="46"/>
      <c r="F53" s="38"/>
      <c r="G53" s="38"/>
      <c r="H53" s="39"/>
    </row>
    <row r="54" spans="1:8" x14ac:dyDescent="0.25">
      <c r="A54" s="40"/>
      <c r="B54" s="41"/>
      <c r="C54" s="37"/>
      <c r="D54" s="42"/>
      <c r="E54" s="46"/>
      <c r="F54" s="38"/>
      <c r="G54" s="38"/>
      <c r="H54" s="39"/>
    </row>
    <row r="55" spans="1:8" x14ac:dyDescent="0.25">
      <c r="A55" s="40"/>
      <c r="B55" s="41"/>
      <c r="C55" s="37"/>
      <c r="D55" s="42"/>
      <c r="E55" s="46"/>
      <c r="F55" s="38"/>
      <c r="G55" s="38"/>
      <c r="H55" s="39"/>
    </row>
    <row r="56" spans="1:8" x14ac:dyDescent="0.25">
      <c r="A56" s="40"/>
      <c r="B56" s="41"/>
      <c r="C56" s="37"/>
      <c r="D56" s="42"/>
      <c r="E56" s="46"/>
      <c r="F56" s="38"/>
      <c r="G56" s="38"/>
      <c r="H56" s="39"/>
    </row>
    <row r="57" spans="1:8" x14ac:dyDescent="0.25">
      <c r="A57" s="40"/>
      <c r="B57" s="41"/>
      <c r="C57" s="37"/>
      <c r="D57" s="42"/>
      <c r="E57" s="46"/>
      <c r="F57" s="38"/>
      <c r="G57" s="38"/>
      <c r="H57" s="43"/>
    </row>
    <row r="58" spans="1:8" ht="15.75" thickBot="1" x14ac:dyDescent="0.3">
      <c r="A58" s="30"/>
      <c r="B58" s="27"/>
      <c r="C58" s="28"/>
      <c r="D58" s="31"/>
      <c r="E58" s="47"/>
      <c r="F58" s="57"/>
      <c r="G58" s="57"/>
      <c r="H58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8"/>
  <sheetViews>
    <sheetView workbookViewId="0">
      <selection activeCell="D20" sqref="D20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8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8" ht="18.75" x14ac:dyDescent="0.3">
      <c r="A2" s="19"/>
      <c r="B2" s="24"/>
      <c r="D2" s="19"/>
      <c r="E2" s="19"/>
      <c r="F2" s="55"/>
    </row>
    <row r="3" spans="1:8" ht="18.75" x14ac:dyDescent="0.3">
      <c r="A3" s="20" t="s">
        <v>251</v>
      </c>
      <c r="C3" s="25">
        <v>347</v>
      </c>
      <c r="D3" s="19"/>
      <c r="E3" s="19"/>
      <c r="F3" s="55"/>
    </row>
    <row r="4" spans="1:8" ht="18.75" x14ac:dyDescent="0.3">
      <c r="A4" s="19"/>
      <c r="B4" s="24"/>
      <c r="D4" s="19"/>
      <c r="E4" s="19"/>
      <c r="F4" s="55"/>
    </row>
    <row r="5" spans="1:8" ht="18.75" x14ac:dyDescent="0.3">
      <c r="A5" s="20" t="s">
        <v>256</v>
      </c>
      <c r="C5" s="26" t="str">
        <f>VLOOKUP(C3,'Liste salariés'!A3:G104,2,FALSE)</f>
        <v>BRANKAER Alexandre</v>
      </c>
      <c r="D5" s="19"/>
      <c r="E5" s="19"/>
      <c r="F5" s="55"/>
    </row>
    <row r="6" spans="1:8" ht="39.75" customHeight="1" x14ac:dyDescent="0.3">
      <c r="A6" s="20" t="s">
        <v>252</v>
      </c>
      <c r="C6" s="23">
        <f>VLOOKUP(C3,'Liste salariés'!A3:J103,6,FALSE)</f>
        <v>33637</v>
      </c>
      <c r="D6" s="20" t="s">
        <v>253</v>
      </c>
      <c r="E6" s="49">
        <f ca="1">(B1-C6)/365</f>
        <v>34.123287671232873</v>
      </c>
      <c r="F6" s="48"/>
    </row>
    <row r="7" spans="1:8" ht="26.25" customHeight="1" x14ac:dyDescent="0.3">
      <c r="A7" s="20" t="s">
        <v>254</v>
      </c>
      <c r="C7" s="23">
        <f>VLOOKUP(C3,'Liste salariés'!A3:J105,3,FALSE)</f>
        <v>42177</v>
      </c>
      <c r="D7" s="20" t="s">
        <v>255</v>
      </c>
      <c r="E7" s="49">
        <f ca="1">(B1-C7)/365</f>
        <v>10.726027397260275</v>
      </c>
      <c r="F7" s="48"/>
    </row>
    <row r="8" spans="1:8" x14ac:dyDescent="0.25">
      <c r="B8"/>
    </row>
    <row r="9" spans="1:8" x14ac:dyDescent="0.25">
      <c r="B9"/>
    </row>
    <row r="10" spans="1:8" ht="18.75" x14ac:dyDescent="0.3">
      <c r="A10" s="20" t="s">
        <v>257</v>
      </c>
      <c r="B10"/>
    </row>
    <row r="11" spans="1:8" ht="15.75" thickBot="1" x14ac:dyDescent="0.3"/>
    <row r="12" spans="1:8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8" ht="20.100000000000001" customHeight="1" x14ac:dyDescent="0.25">
      <c r="A13" s="32">
        <v>2031</v>
      </c>
      <c r="B13" s="60" t="s">
        <v>180</v>
      </c>
      <c r="C13" s="33"/>
      <c r="D13" s="44"/>
      <c r="E13" s="45"/>
      <c r="F13" s="34"/>
      <c r="G13" s="34">
        <v>2015</v>
      </c>
      <c r="H13" s="35">
        <v>0.25</v>
      </c>
    </row>
    <row r="14" spans="1:8" ht="20.100000000000001" customHeight="1" x14ac:dyDescent="0.25">
      <c r="A14" s="36">
        <v>3012</v>
      </c>
      <c r="B14" s="59" t="s">
        <v>38</v>
      </c>
      <c r="C14" s="37"/>
      <c r="D14" s="42"/>
      <c r="E14" s="46"/>
      <c r="F14" s="38"/>
      <c r="G14" s="38">
        <v>2015</v>
      </c>
      <c r="H14" s="39">
        <v>151.66999999999999</v>
      </c>
    </row>
    <row r="15" spans="1:8" ht="20.100000000000001" customHeight="1" x14ac:dyDescent="0.25">
      <c r="A15" s="36">
        <v>3043</v>
      </c>
      <c r="B15" s="59" t="s">
        <v>44</v>
      </c>
      <c r="C15" s="37"/>
      <c r="D15" s="42"/>
      <c r="E15" s="46"/>
      <c r="F15" s="38"/>
      <c r="G15" s="38">
        <v>2015</v>
      </c>
      <c r="H15" s="39">
        <v>151.66999999999999</v>
      </c>
    </row>
    <row r="16" spans="1:8" ht="20.100000000000001" customHeight="1" x14ac:dyDescent="0.25">
      <c r="A16" s="36">
        <v>1004</v>
      </c>
      <c r="B16" s="59" t="s">
        <v>206</v>
      </c>
      <c r="C16" s="37"/>
      <c r="D16" s="42"/>
      <c r="E16" s="46"/>
      <c r="F16" s="38"/>
      <c r="G16" s="38">
        <v>2015</v>
      </c>
      <c r="H16" s="39">
        <v>7</v>
      </c>
    </row>
    <row r="17" spans="1:8" ht="20.100000000000001" customHeight="1" x14ac:dyDescent="0.25">
      <c r="A17" s="36">
        <v>3012</v>
      </c>
      <c r="B17" s="59" t="s">
        <v>38</v>
      </c>
      <c r="C17" s="37"/>
      <c r="D17" s="42"/>
      <c r="E17" s="46"/>
      <c r="F17" s="38"/>
      <c r="G17" s="38">
        <v>2017</v>
      </c>
      <c r="H17" s="39">
        <v>151.66999999999999</v>
      </c>
    </row>
    <row r="18" spans="1:8" ht="20.100000000000001" customHeight="1" x14ac:dyDescent="0.25">
      <c r="A18" s="36">
        <v>3043</v>
      </c>
      <c r="B18" s="59" t="s">
        <v>44</v>
      </c>
      <c r="C18" s="37"/>
      <c r="D18" s="42"/>
      <c r="E18" s="46"/>
      <c r="F18" s="38"/>
      <c r="G18" s="38">
        <v>2017</v>
      </c>
      <c r="H18" s="39">
        <v>151.66999999999999</v>
      </c>
    </row>
    <row r="19" spans="1:8" ht="20.100000000000001" customHeight="1" x14ac:dyDescent="0.25">
      <c r="A19" s="36">
        <v>2007</v>
      </c>
      <c r="B19" s="59" t="s">
        <v>245</v>
      </c>
      <c r="C19" s="37"/>
      <c r="D19" s="42"/>
      <c r="E19" s="46"/>
      <c r="F19" s="38"/>
      <c r="G19" s="38">
        <v>2017</v>
      </c>
      <c r="H19" s="39">
        <v>2</v>
      </c>
    </row>
    <row r="20" spans="1:8" ht="20.100000000000001" customHeight="1" x14ac:dyDescent="0.25">
      <c r="A20" s="36">
        <v>3012</v>
      </c>
      <c r="B20" s="59" t="s">
        <v>38</v>
      </c>
      <c r="C20" s="37"/>
      <c r="D20" s="42"/>
      <c r="E20" s="46"/>
      <c r="F20" s="38"/>
      <c r="G20" s="38">
        <v>2019</v>
      </c>
      <c r="H20" s="39">
        <v>151.66999999999999</v>
      </c>
    </row>
    <row r="21" spans="1:8" ht="20.100000000000001" customHeight="1" x14ac:dyDescent="0.25">
      <c r="A21" s="36">
        <v>3043</v>
      </c>
      <c r="B21" s="59" t="s">
        <v>44</v>
      </c>
      <c r="C21" s="37"/>
      <c r="D21" s="42"/>
      <c r="E21" s="46"/>
      <c r="F21" s="38"/>
      <c r="G21" s="38">
        <v>2019</v>
      </c>
      <c r="H21" s="39">
        <v>151.66999999999999</v>
      </c>
    </row>
    <row r="22" spans="1:8" ht="20.100000000000001" customHeight="1" x14ac:dyDescent="0.25">
      <c r="A22" s="36">
        <v>1003</v>
      </c>
      <c r="B22" s="59" t="s">
        <v>205</v>
      </c>
      <c r="C22" s="37"/>
      <c r="D22" s="42"/>
      <c r="E22" s="46"/>
      <c r="F22" s="38"/>
      <c r="G22" s="38">
        <v>2020</v>
      </c>
      <c r="H22" s="39">
        <v>7</v>
      </c>
    </row>
    <row r="23" spans="1:8" ht="20.100000000000001" customHeight="1" x14ac:dyDescent="0.25">
      <c r="A23" s="36">
        <v>1004</v>
      </c>
      <c r="B23" s="59" t="s">
        <v>206</v>
      </c>
      <c r="C23" s="37"/>
      <c r="D23" s="42"/>
      <c r="E23" s="46"/>
      <c r="F23" s="38"/>
      <c r="G23" s="38">
        <v>2021</v>
      </c>
      <c r="H23" s="39">
        <v>7</v>
      </c>
    </row>
    <row r="24" spans="1:8" ht="20.100000000000001" customHeight="1" x14ac:dyDescent="0.25">
      <c r="A24" s="36">
        <v>1004</v>
      </c>
      <c r="B24" s="59" t="s">
        <v>206</v>
      </c>
      <c r="C24" s="37"/>
      <c r="D24" s="42"/>
      <c r="E24" s="46"/>
      <c r="F24" s="38"/>
      <c r="G24" s="38">
        <v>2023</v>
      </c>
      <c r="H24" s="39">
        <v>7</v>
      </c>
    </row>
    <row r="25" spans="1:8" ht="20.100000000000001" customHeight="1" x14ac:dyDescent="0.25">
      <c r="A25" s="36">
        <v>1008</v>
      </c>
      <c r="B25" s="59" t="s">
        <v>241</v>
      </c>
      <c r="C25" s="37"/>
      <c r="D25" s="42"/>
      <c r="E25" s="46"/>
      <c r="F25" s="38"/>
      <c r="G25" s="38">
        <v>2023</v>
      </c>
      <c r="H25" s="39">
        <v>2</v>
      </c>
    </row>
    <row r="26" spans="1:8" ht="20.100000000000001" customHeight="1" x14ac:dyDescent="0.25">
      <c r="A26" s="36">
        <v>1009</v>
      </c>
      <c r="B26" s="59" t="s">
        <v>221</v>
      </c>
      <c r="C26" s="37"/>
      <c r="D26" s="42"/>
      <c r="E26" s="46"/>
      <c r="F26" s="38"/>
      <c r="G26" s="38">
        <v>2023</v>
      </c>
      <c r="H26" s="39">
        <v>2</v>
      </c>
    </row>
    <row r="27" spans="1:8" ht="20.100000000000001" customHeight="1" x14ac:dyDescent="0.25">
      <c r="A27" s="36">
        <v>1030</v>
      </c>
      <c r="B27" s="59" t="s">
        <v>146</v>
      </c>
      <c r="C27" s="37"/>
      <c r="D27" s="42"/>
      <c r="E27" s="46"/>
      <c r="F27" s="38"/>
      <c r="G27" s="38">
        <v>2023</v>
      </c>
      <c r="H27" s="39">
        <v>0.5</v>
      </c>
    </row>
    <row r="28" spans="1:8" ht="20.100000000000001" customHeight="1" x14ac:dyDescent="0.25">
      <c r="A28" s="36">
        <v>1012</v>
      </c>
      <c r="B28" s="59" t="s">
        <v>242</v>
      </c>
      <c r="C28" s="37"/>
      <c r="D28" s="42"/>
      <c r="E28" s="46"/>
      <c r="F28" s="38"/>
      <c r="G28" s="38">
        <v>2024</v>
      </c>
      <c r="H28" s="39">
        <v>3.5</v>
      </c>
    </row>
    <row r="29" spans="1:8" ht="20.100000000000001" customHeight="1" x14ac:dyDescent="0.25">
      <c r="A29" s="36">
        <v>1020</v>
      </c>
      <c r="B29" s="59" t="s">
        <v>202</v>
      </c>
      <c r="C29" s="37"/>
      <c r="D29" s="42"/>
      <c r="E29" s="46"/>
      <c r="F29" s="38"/>
      <c r="G29" s="38">
        <v>2024</v>
      </c>
      <c r="H29" s="39">
        <v>3.5</v>
      </c>
    </row>
    <row r="30" spans="1:8" ht="20.100000000000001" customHeight="1" x14ac:dyDescent="0.25">
      <c r="A30" s="36"/>
      <c r="B30" s="59"/>
      <c r="C30" s="37"/>
      <c r="D30" s="42"/>
      <c r="E30" s="46"/>
      <c r="F30" s="38"/>
      <c r="G30" s="38"/>
      <c r="H30" s="39"/>
    </row>
    <row r="31" spans="1:8" ht="20.100000000000001" customHeight="1" x14ac:dyDescent="0.25">
      <c r="A31" s="36"/>
      <c r="B31" s="59"/>
      <c r="C31" s="37"/>
      <c r="D31" s="42"/>
      <c r="E31" s="46"/>
      <c r="F31" s="38"/>
      <c r="G31" s="38"/>
      <c r="H31" s="39"/>
    </row>
    <row r="32" spans="1:8" ht="20.100000000000001" customHeight="1" x14ac:dyDescent="0.25">
      <c r="A32" s="36"/>
      <c r="B32" s="59"/>
      <c r="C32" s="37"/>
      <c r="D32" s="42"/>
      <c r="E32" s="46"/>
      <c r="F32" s="38"/>
      <c r="G32" s="38"/>
      <c r="H32" s="39"/>
    </row>
    <row r="33" spans="1:8" ht="20.100000000000001" customHeight="1" x14ac:dyDescent="0.25">
      <c r="A33" s="36"/>
      <c r="B33" s="37"/>
      <c r="C33" s="37"/>
      <c r="D33" s="42"/>
      <c r="E33" s="46"/>
      <c r="F33" s="38"/>
      <c r="G33" s="38"/>
      <c r="H33" s="39"/>
    </row>
    <row r="34" spans="1:8" ht="20.100000000000001" customHeight="1" x14ac:dyDescent="0.25">
      <c r="A34" s="36"/>
      <c r="B34" s="37"/>
      <c r="C34" s="37"/>
      <c r="D34" s="42"/>
      <c r="E34" s="46"/>
      <c r="F34" s="38"/>
      <c r="G34" s="38"/>
      <c r="H34" s="39"/>
    </row>
    <row r="35" spans="1:8" ht="20.100000000000001" customHeight="1" x14ac:dyDescent="0.25">
      <c r="A35" s="36"/>
      <c r="B35" s="37"/>
      <c r="C35" s="37"/>
      <c r="D35" s="42"/>
      <c r="E35" s="46"/>
      <c r="F35" s="38"/>
      <c r="G35" s="38"/>
      <c r="H35" s="39"/>
    </row>
    <row r="36" spans="1:8" ht="20.100000000000001" customHeight="1" x14ac:dyDescent="0.25">
      <c r="A36" s="36"/>
      <c r="B36" s="37"/>
      <c r="C36" s="37"/>
      <c r="D36" s="42"/>
      <c r="E36" s="46"/>
      <c r="F36" s="38"/>
      <c r="G36" s="38"/>
      <c r="H36" s="39"/>
    </row>
    <row r="37" spans="1:8" x14ac:dyDescent="0.25">
      <c r="A37" s="40"/>
      <c r="B37" s="41"/>
      <c r="C37" s="37"/>
      <c r="D37" s="42"/>
      <c r="E37" s="46"/>
      <c r="F37" s="38"/>
      <c r="G37" s="38"/>
      <c r="H37" s="39"/>
    </row>
    <row r="38" spans="1:8" x14ac:dyDescent="0.25">
      <c r="A38" s="40"/>
      <c r="B38" s="41"/>
      <c r="C38" s="37"/>
      <c r="D38" s="42"/>
      <c r="E38" s="46"/>
      <c r="F38" s="56"/>
      <c r="G38" s="38"/>
      <c r="H38" s="39"/>
    </row>
    <row r="39" spans="1:8" x14ac:dyDescent="0.25">
      <c r="A39" s="40"/>
      <c r="B39" s="41"/>
      <c r="C39" s="37"/>
      <c r="D39" s="42"/>
      <c r="E39" s="46"/>
      <c r="F39" s="38"/>
      <c r="G39" s="38"/>
      <c r="H39" s="39"/>
    </row>
    <row r="40" spans="1:8" x14ac:dyDescent="0.25">
      <c r="A40" s="40"/>
      <c r="B40" s="41"/>
      <c r="C40" s="37"/>
      <c r="D40" s="42"/>
      <c r="E40" s="46"/>
      <c r="F40" s="38"/>
      <c r="G40" s="38"/>
      <c r="H40" s="39"/>
    </row>
    <row r="41" spans="1:8" x14ac:dyDescent="0.25">
      <c r="A41" s="40"/>
      <c r="B41" s="41"/>
      <c r="C41" s="37"/>
      <c r="D41" s="42"/>
      <c r="E41" s="46"/>
      <c r="F41" s="38"/>
      <c r="G41" s="38"/>
      <c r="H41" s="39"/>
    </row>
    <row r="42" spans="1:8" x14ac:dyDescent="0.25">
      <c r="A42" s="40"/>
      <c r="B42" s="41"/>
      <c r="C42" s="37"/>
      <c r="D42" s="42"/>
      <c r="E42" s="46"/>
      <c r="F42" s="38"/>
      <c r="G42" s="38"/>
      <c r="H42" s="39"/>
    </row>
    <row r="43" spans="1:8" x14ac:dyDescent="0.25">
      <c r="A43" s="40"/>
      <c r="B43" s="41"/>
      <c r="C43" s="37"/>
      <c r="D43" s="42"/>
      <c r="E43" s="46"/>
      <c r="F43" s="38"/>
      <c r="G43" s="38"/>
      <c r="H43" s="39"/>
    </row>
    <row r="44" spans="1:8" x14ac:dyDescent="0.25">
      <c r="A44" s="40"/>
      <c r="B44" s="41"/>
      <c r="C44" s="37"/>
      <c r="D44" s="42"/>
      <c r="E44" s="46"/>
      <c r="F44" s="38"/>
      <c r="G44" s="38"/>
      <c r="H44" s="39"/>
    </row>
    <row r="45" spans="1:8" x14ac:dyDescent="0.25">
      <c r="A45" s="40"/>
      <c r="B45" s="41"/>
      <c r="C45" s="37"/>
      <c r="D45" s="42"/>
      <c r="E45" s="46"/>
      <c r="F45" s="38"/>
      <c r="G45" s="38"/>
      <c r="H45" s="39"/>
    </row>
    <row r="46" spans="1:8" x14ac:dyDescent="0.25">
      <c r="A46" s="40"/>
      <c r="B46" s="41"/>
      <c r="C46" s="37"/>
      <c r="D46" s="42"/>
      <c r="E46" s="46"/>
      <c r="F46" s="38"/>
      <c r="G46" s="38"/>
      <c r="H46" s="39"/>
    </row>
    <row r="47" spans="1:8" x14ac:dyDescent="0.25">
      <c r="A47" s="40"/>
      <c r="B47" s="41"/>
      <c r="C47" s="37"/>
      <c r="D47" s="42"/>
      <c r="E47" s="46"/>
      <c r="F47" s="38"/>
      <c r="G47" s="38"/>
      <c r="H47" s="39"/>
    </row>
    <row r="48" spans="1:8" x14ac:dyDescent="0.25">
      <c r="A48" s="40"/>
      <c r="B48" s="41"/>
      <c r="C48" s="37"/>
      <c r="D48" s="42"/>
      <c r="E48" s="46"/>
      <c r="F48" s="38"/>
      <c r="G48" s="38"/>
      <c r="H48" s="39"/>
    </row>
    <row r="49" spans="1:8" x14ac:dyDescent="0.25">
      <c r="A49" s="40"/>
      <c r="B49" s="41"/>
      <c r="C49" s="37"/>
      <c r="D49" s="42"/>
      <c r="E49" s="46"/>
      <c r="F49" s="38"/>
      <c r="G49" s="38"/>
      <c r="H49" s="39"/>
    </row>
    <row r="50" spans="1:8" x14ac:dyDescent="0.25">
      <c r="A50" s="40"/>
      <c r="B50" s="41"/>
      <c r="C50" s="37"/>
      <c r="D50" s="42"/>
      <c r="E50" s="46"/>
      <c r="F50" s="38"/>
      <c r="G50" s="38"/>
      <c r="H50" s="39"/>
    </row>
    <row r="51" spans="1:8" x14ac:dyDescent="0.25">
      <c r="A51" s="40"/>
      <c r="B51" s="41"/>
      <c r="C51" s="37"/>
      <c r="D51" s="42"/>
      <c r="E51" s="46"/>
      <c r="F51" s="38"/>
      <c r="G51" s="38"/>
      <c r="H51" s="39"/>
    </row>
    <row r="52" spans="1:8" x14ac:dyDescent="0.25">
      <c r="A52" s="40"/>
      <c r="B52" s="41"/>
      <c r="C52" s="37"/>
      <c r="D52" s="42"/>
      <c r="E52" s="46"/>
      <c r="F52" s="38"/>
      <c r="G52" s="38"/>
      <c r="H52" s="39"/>
    </row>
    <row r="53" spans="1:8" x14ac:dyDescent="0.25">
      <c r="A53" s="40"/>
      <c r="B53" s="41"/>
      <c r="C53" s="37"/>
      <c r="D53" s="42"/>
      <c r="E53" s="46"/>
      <c r="F53" s="38"/>
      <c r="G53" s="38"/>
      <c r="H53" s="39"/>
    </row>
    <row r="54" spans="1:8" x14ac:dyDescent="0.25">
      <c r="A54" s="40"/>
      <c r="B54" s="41"/>
      <c r="C54" s="37"/>
      <c r="D54" s="42"/>
      <c r="E54" s="46"/>
      <c r="F54" s="38"/>
      <c r="G54" s="38"/>
      <c r="H54" s="39"/>
    </row>
    <row r="55" spans="1:8" x14ac:dyDescent="0.25">
      <c r="A55" s="40"/>
      <c r="B55" s="41"/>
      <c r="C55" s="37"/>
      <c r="D55" s="42"/>
      <c r="E55" s="46"/>
      <c r="F55" s="38"/>
      <c r="G55" s="38"/>
      <c r="H55" s="39"/>
    </row>
    <row r="56" spans="1:8" x14ac:dyDescent="0.25">
      <c r="A56" s="40"/>
      <c r="B56" s="41"/>
      <c r="C56" s="37"/>
      <c r="D56" s="42"/>
      <c r="E56" s="46"/>
      <c r="F56" s="38"/>
      <c r="G56" s="38"/>
      <c r="H56" s="39"/>
    </row>
    <row r="57" spans="1:8" x14ac:dyDescent="0.25">
      <c r="A57" s="40"/>
      <c r="B57" s="41"/>
      <c r="C57" s="37"/>
      <c r="D57" s="42"/>
      <c r="E57" s="46"/>
      <c r="F57" s="38"/>
      <c r="G57" s="38"/>
      <c r="H57" s="43"/>
    </row>
    <row r="58" spans="1:8" ht="15.75" thickBot="1" x14ac:dyDescent="0.3">
      <c r="A58" s="30"/>
      <c r="B58" s="27"/>
      <c r="C58" s="28"/>
      <c r="D58" s="31"/>
      <c r="E58" s="47"/>
      <c r="F58" s="57"/>
      <c r="G58" s="57"/>
      <c r="H58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24"/>
  <sheetViews>
    <sheetView topLeftCell="A19" workbookViewId="0">
      <selection activeCell="B35" sqref="B35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8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8" ht="18.75" x14ac:dyDescent="0.3">
      <c r="A2" s="19"/>
      <c r="B2" s="24"/>
      <c r="D2" s="19"/>
      <c r="E2" s="19"/>
      <c r="F2" s="55"/>
    </row>
    <row r="3" spans="1:8" ht="18.75" x14ac:dyDescent="0.3">
      <c r="A3" s="20" t="s">
        <v>251</v>
      </c>
      <c r="C3" s="25">
        <v>56</v>
      </c>
      <c r="D3" s="19"/>
      <c r="E3" s="19"/>
      <c r="F3" s="55"/>
    </row>
    <row r="4" spans="1:8" ht="18.75" x14ac:dyDescent="0.3">
      <c r="A4" s="19"/>
      <c r="B4" s="24"/>
      <c r="D4" s="19"/>
      <c r="E4" s="19"/>
      <c r="F4" s="55"/>
    </row>
    <row r="5" spans="1:8" ht="18.75" x14ac:dyDescent="0.3">
      <c r="A5" s="20" t="s">
        <v>256</v>
      </c>
      <c r="C5" s="26" t="str">
        <f>VLOOKUP(C3,'Liste salariés'!A3:G104,2,FALSE)</f>
        <v>BEHEREGARAY Jean Michel</v>
      </c>
      <c r="D5" s="19"/>
      <c r="E5" s="19"/>
      <c r="F5" s="55"/>
    </row>
    <row r="6" spans="1:8" ht="39.75" customHeight="1" x14ac:dyDescent="0.3">
      <c r="A6" s="20" t="s">
        <v>252</v>
      </c>
      <c r="C6" s="23">
        <f>VLOOKUP(C3,'Liste salariés'!A3:J103,6,FALSE)</f>
        <v>23778</v>
      </c>
      <c r="D6" s="20" t="s">
        <v>253</v>
      </c>
      <c r="E6" s="49">
        <f ca="1">(B1-C6)/365</f>
        <v>61.134246575342466</v>
      </c>
      <c r="F6" s="48"/>
    </row>
    <row r="7" spans="1:8" ht="26.25" customHeight="1" x14ac:dyDescent="0.3">
      <c r="A7" s="20" t="s">
        <v>254</v>
      </c>
      <c r="C7" s="23">
        <f>VLOOKUP(C3,'Liste salariés'!A3:J105,3,FALSE)</f>
        <v>33303</v>
      </c>
      <c r="D7" s="20" t="s">
        <v>255</v>
      </c>
      <c r="E7" s="49">
        <f ca="1">(B1-C7)/365</f>
        <v>35.038356164383565</v>
      </c>
      <c r="F7" s="48"/>
    </row>
    <row r="8" spans="1:8" x14ac:dyDescent="0.25">
      <c r="B8"/>
    </row>
    <row r="9" spans="1:8" x14ac:dyDescent="0.25">
      <c r="B9"/>
    </row>
    <row r="10" spans="1:8" ht="18.75" x14ac:dyDescent="0.3">
      <c r="A10" s="20" t="s">
        <v>257</v>
      </c>
      <c r="B10"/>
    </row>
    <row r="11" spans="1:8" ht="15.75" thickBot="1" x14ac:dyDescent="0.3"/>
    <row r="12" spans="1:8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8" ht="20.100000000000001" customHeight="1" x14ac:dyDescent="0.25">
      <c r="A13" s="32">
        <v>3025</v>
      </c>
      <c r="B13" s="60" t="s">
        <v>42</v>
      </c>
      <c r="C13" s="33"/>
      <c r="D13" s="44"/>
      <c r="E13" s="45"/>
      <c r="F13" s="34"/>
      <c r="G13" s="34">
        <v>2010</v>
      </c>
      <c r="H13" s="35">
        <v>151.66999999999999</v>
      </c>
    </row>
    <row r="14" spans="1:8" ht="20.100000000000001" customHeight="1" x14ac:dyDescent="0.25">
      <c r="A14" s="36">
        <v>3007</v>
      </c>
      <c r="B14" s="59" t="s">
        <v>26</v>
      </c>
      <c r="C14" s="37"/>
      <c r="D14" s="42"/>
      <c r="E14" s="46"/>
      <c r="F14" s="38"/>
      <c r="G14" s="38">
        <v>2011</v>
      </c>
      <c r="H14" s="39">
        <v>151.66999999999999</v>
      </c>
    </row>
    <row r="15" spans="1:8" ht="20.100000000000001" customHeight="1" x14ac:dyDescent="0.25">
      <c r="A15" s="36">
        <v>3012</v>
      </c>
      <c r="B15" s="59" t="s">
        <v>38</v>
      </c>
      <c r="C15" s="37"/>
      <c r="D15" s="42"/>
      <c r="E15" s="46"/>
      <c r="F15" s="38"/>
      <c r="G15" s="38">
        <v>2011</v>
      </c>
      <c r="H15" s="39">
        <v>151.66999999999999</v>
      </c>
    </row>
    <row r="16" spans="1:8" ht="20.100000000000001" customHeight="1" x14ac:dyDescent="0.25">
      <c r="A16" s="36">
        <v>3020</v>
      </c>
      <c r="B16" s="59" t="s">
        <v>152</v>
      </c>
      <c r="C16" s="37"/>
      <c r="D16" s="42"/>
      <c r="E16" s="46"/>
      <c r="F16" s="38"/>
      <c r="G16" s="38">
        <v>2011</v>
      </c>
      <c r="H16" s="39">
        <v>151.66999999999999</v>
      </c>
    </row>
    <row r="17" spans="1:8" ht="20.100000000000001" customHeight="1" x14ac:dyDescent="0.25">
      <c r="A17" s="36">
        <v>3021</v>
      </c>
      <c r="B17" s="59" t="s">
        <v>32</v>
      </c>
      <c r="C17" s="37"/>
      <c r="D17" s="42"/>
      <c r="E17" s="46"/>
      <c r="F17" s="38"/>
      <c r="G17" s="38">
        <v>2011</v>
      </c>
      <c r="H17" s="39">
        <v>151.66999999999999</v>
      </c>
    </row>
    <row r="18" spans="1:8" ht="20.100000000000001" customHeight="1" x14ac:dyDescent="0.25">
      <c r="A18" s="36">
        <v>3025</v>
      </c>
      <c r="B18" s="59" t="s">
        <v>42</v>
      </c>
      <c r="C18" s="37"/>
      <c r="D18" s="42"/>
      <c r="E18" s="46"/>
      <c r="F18" s="38"/>
      <c r="G18" s="38">
        <v>2011</v>
      </c>
      <c r="H18" s="39">
        <v>151.66999999999999</v>
      </c>
    </row>
    <row r="19" spans="1:8" ht="20.100000000000001" customHeight="1" x14ac:dyDescent="0.25">
      <c r="A19" s="36">
        <v>3043</v>
      </c>
      <c r="B19" s="59" t="s">
        <v>44</v>
      </c>
      <c r="C19" s="37"/>
      <c r="D19" s="42"/>
      <c r="E19" s="46"/>
      <c r="F19" s="38"/>
      <c r="G19" s="38">
        <v>2011</v>
      </c>
      <c r="H19" s="39">
        <v>151.66999999999999</v>
      </c>
    </row>
    <row r="20" spans="1:8" ht="20.100000000000001" customHeight="1" x14ac:dyDescent="0.25">
      <c r="A20" s="36">
        <v>1010</v>
      </c>
      <c r="B20" s="59" t="s">
        <v>222</v>
      </c>
      <c r="C20" s="37"/>
      <c r="D20" s="42"/>
      <c r="E20" s="46"/>
      <c r="F20" s="38"/>
      <c r="G20" s="38">
        <v>2012</v>
      </c>
      <c r="H20" s="39">
        <v>2.5</v>
      </c>
    </row>
    <row r="21" spans="1:8" ht="20.100000000000001" customHeight="1" x14ac:dyDescent="0.25">
      <c r="A21" s="36">
        <v>1024</v>
      </c>
      <c r="B21" s="59" t="s">
        <v>203</v>
      </c>
      <c r="C21" s="37"/>
      <c r="D21" s="42"/>
      <c r="E21" s="46"/>
      <c r="F21" s="38"/>
      <c r="G21" s="38">
        <v>2012</v>
      </c>
      <c r="H21" s="39">
        <v>1</v>
      </c>
    </row>
    <row r="22" spans="1:8" ht="20.100000000000001" customHeight="1" x14ac:dyDescent="0.25">
      <c r="A22" s="36">
        <v>3012</v>
      </c>
      <c r="B22" s="59" t="s">
        <v>38</v>
      </c>
      <c r="C22" s="37"/>
      <c r="D22" s="42"/>
      <c r="E22" s="46"/>
      <c r="F22" s="38"/>
      <c r="G22" s="38">
        <v>2013</v>
      </c>
      <c r="H22" s="39">
        <v>151.66999999999999</v>
      </c>
    </row>
    <row r="23" spans="1:8" ht="20.100000000000001" customHeight="1" x14ac:dyDescent="0.25">
      <c r="A23" s="36">
        <v>3020</v>
      </c>
      <c r="B23" s="59" t="s">
        <v>152</v>
      </c>
      <c r="C23" s="37"/>
      <c r="D23" s="42"/>
      <c r="E23" s="46"/>
      <c r="F23" s="38"/>
      <c r="G23" s="38">
        <v>2013</v>
      </c>
      <c r="H23" s="39">
        <v>151.66999999999999</v>
      </c>
    </row>
    <row r="24" spans="1:8" ht="20.100000000000001" customHeight="1" x14ac:dyDescent="0.25">
      <c r="A24" s="36">
        <v>3021</v>
      </c>
      <c r="B24" s="59" t="s">
        <v>32</v>
      </c>
      <c r="C24" s="37"/>
      <c r="D24" s="42"/>
      <c r="E24" s="46"/>
      <c r="F24" s="38"/>
      <c r="G24" s="38">
        <v>2013</v>
      </c>
      <c r="H24" s="39">
        <v>151.66999999999999</v>
      </c>
    </row>
    <row r="25" spans="1:8" ht="20.100000000000001" customHeight="1" x14ac:dyDescent="0.25">
      <c r="A25" s="36">
        <v>1024</v>
      </c>
      <c r="B25" s="59" t="s">
        <v>203</v>
      </c>
      <c r="C25" s="37"/>
      <c r="D25" s="42"/>
      <c r="E25" s="46"/>
      <c r="F25" s="38"/>
      <c r="G25" s="38">
        <v>2013</v>
      </c>
      <c r="H25" s="39">
        <v>1</v>
      </c>
    </row>
    <row r="26" spans="1:8" ht="20.100000000000001" customHeight="1" x14ac:dyDescent="0.25">
      <c r="A26" s="36">
        <v>1025</v>
      </c>
      <c r="B26" s="59" t="s">
        <v>154</v>
      </c>
      <c r="C26" s="37"/>
      <c r="D26" s="42"/>
      <c r="E26" s="46"/>
      <c r="F26" s="38"/>
      <c r="G26" s="38">
        <v>2013</v>
      </c>
      <c r="H26" s="39">
        <v>0.5</v>
      </c>
    </row>
    <row r="27" spans="1:8" ht="20.100000000000001" customHeight="1" x14ac:dyDescent="0.25">
      <c r="A27" s="36">
        <v>1020</v>
      </c>
      <c r="B27" s="59" t="s">
        <v>202</v>
      </c>
      <c r="C27" s="37"/>
      <c r="D27" s="42"/>
      <c r="E27" s="46"/>
      <c r="F27" s="38"/>
      <c r="G27" s="38">
        <v>2014</v>
      </c>
      <c r="H27" s="39">
        <v>3.5</v>
      </c>
    </row>
    <row r="28" spans="1:8" ht="20.100000000000001" customHeight="1" x14ac:dyDescent="0.25">
      <c r="A28" s="36">
        <v>3025</v>
      </c>
      <c r="B28" s="59" t="s">
        <v>42</v>
      </c>
      <c r="C28" s="37"/>
      <c r="D28" s="42"/>
      <c r="E28" s="46"/>
      <c r="F28" s="38"/>
      <c r="G28" s="38">
        <v>2014</v>
      </c>
      <c r="H28" s="39">
        <v>151.66999999999999</v>
      </c>
    </row>
    <row r="29" spans="1:8" ht="20.100000000000001" customHeight="1" x14ac:dyDescent="0.25">
      <c r="A29" s="36">
        <v>3043</v>
      </c>
      <c r="B29" s="59" t="s">
        <v>44</v>
      </c>
      <c r="C29" s="37"/>
      <c r="D29" s="42"/>
      <c r="E29" s="46"/>
      <c r="F29" s="38"/>
      <c r="G29" s="38">
        <v>2014</v>
      </c>
      <c r="H29" s="39">
        <v>151.66999999999999</v>
      </c>
    </row>
    <row r="30" spans="1:8" ht="20.100000000000001" customHeight="1" x14ac:dyDescent="0.25">
      <c r="A30" s="36">
        <v>3012</v>
      </c>
      <c r="B30" s="59" t="s">
        <v>38</v>
      </c>
      <c r="C30" s="37"/>
      <c r="D30" s="42"/>
      <c r="E30" s="46"/>
      <c r="F30" s="38"/>
      <c r="G30" s="38">
        <v>2015</v>
      </c>
      <c r="H30" s="39">
        <v>151.66999999999999</v>
      </c>
    </row>
    <row r="31" spans="1:8" ht="20.100000000000001" customHeight="1" x14ac:dyDescent="0.25">
      <c r="A31" s="36">
        <v>3020</v>
      </c>
      <c r="B31" s="59" t="s">
        <v>152</v>
      </c>
      <c r="C31" s="37"/>
      <c r="D31" s="42"/>
      <c r="E31" s="46"/>
      <c r="F31" s="38"/>
      <c r="G31" s="38">
        <v>2015</v>
      </c>
      <c r="H31" s="39">
        <v>151.66999999999999</v>
      </c>
    </row>
    <row r="32" spans="1:8" ht="20.100000000000001" customHeight="1" x14ac:dyDescent="0.25">
      <c r="A32" s="36">
        <v>3021</v>
      </c>
      <c r="B32" s="59" t="s">
        <v>32</v>
      </c>
      <c r="C32" s="37"/>
      <c r="D32" s="42"/>
      <c r="E32" s="46"/>
      <c r="F32" s="38"/>
      <c r="G32" s="38">
        <v>2015</v>
      </c>
      <c r="H32" s="39">
        <v>151.66999999999999</v>
      </c>
    </row>
    <row r="33" spans="1:8" ht="20.100000000000001" customHeight="1" x14ac:dyDescent="0.25">
      <c r="A33" s="36">
        <v>3043</v>
      </c>
      <c r="B33" s="37" t="s">
        <v>44</v>
      </c>
      <c r="C33" s="37"/>
      <c r="D33" s="42"/>
      <c r="E33" s="46"/>
      <c r="F33" s="38"/>
      <c r="G33" s="38">
        <v>2015</v>
      </c>
      <c r="H33" s="39">
        <v>151.66999999999999</v>
      </c>
    </row>
    <row r="34" spans="1:8" ht="20.100000000000001" customHeight="1" x14ac:dyDescent="0.25">
      <c r="A34" s="36">
        <v>2005</v>
      </c>
      <c r="B34" s="37" t="s">
        <v>153</v>
      </c>
      <c r="C34" s="37"/>
      <c r="D34" s="42"/>
      <c r="E34" s="46"/>
      <c r="F34" s="38"/>
      <c r="G34" s="38">
        <v>2015</v>
      </c>
      <c r="H34" s="39">
        <v>2</v>
      </c>
    </row>
    <row r="35" spans="1:8" ht="20.100000000000001" customHeight="1" x14ac:dyDescent="0.25">
      <c r="A35" s="36">
        <v>1009</v>
      </c>
      <c r="B35" s="37" t="s">
        <v>221</v>
      </c>
      <c r="C35" s="37"/>
      <c r="D35" s="42"/>
      <c r="E35" s="46"/>
      <c r="F35" s="38"/>
      <c r="G35" s="38">
        <v>2015</v>
      </c>
      <c r="H35" s="39">
        <v>3</v>
      </c>
    </row>
    <row r="36" spans="1:8" ht="20.100000000000001" customHeight="1" x14ac:dyDescent="0.25">
      <c r="A36" s="36">
        <v>1017</v>
      </c>
      <c r="B36" s="37" t="s">
        <v>208</v>
      </c>
      <c r="C36" s="37"/>
      <c r="D36" s="42"/>
      <c r="E36" s="46"/>
      <c r="F36" s="38"/>
      <c r="G36" s="38">
        <v>2016</v>
      </c>
      <c r="H36" s="39">
        <v>7</v>
      </c>
    </row>
    <row r="37" spans="1:8" x14ac:dyDescent="0.25">
      <c r="A37" s="40">
        <v>2007</v>
      </c>
      <c r="B37" s="41" t="s">
        <v>245</v>
      </c>
      <c r="C37" s="37"/>
      <c r="D37" s="42"/>
      <c r="E37" s="46"/>
      <c r="F37" s="38"/>
      <c r="G37" s="38">
        <v>2016</v>
      </c>
      <c r="H37" s="39">
        <v>7</v>
      </c>
    </row>
    <row r="38" spans="1:8" x14ac:dyDescent="0.25">
      <c r="A38" s="40">
        <v>1412</v>
      </c>
      <c r="B38" s="41" t="e">
        <v>#N/A</v>
      </c>
      <c r="C38" s="37"/>
      <c r="D38" s="42"/>
      <c r="E38" s="46"/>
      <c r="F38" s="56"/>
      <c r="G38" s="38">
        <v>2016</v>
      </c>
      <c r="H38" s="39">
        <v>151.66999999999999</v>
      </c>
    </row>
    <row r="39" spans="1:8" x14ac:dyDescent="0.25">
      <c r="A39" s="40">
        <v>3020</v>
      </c>
      <c r="B39" s="41" t="s">
        <v>152</v>
      </c>
      <c r="C39" s="37"/>
      <c r="D39" s="42"/>
      <c r="E39" s="46"/>
      <c r="F39" s="38"/>
      <c r="G39" s="38">
        <v>2017</v>
      </c>
      <c r="H39" s="39">
        <v>151.66999999999999</v>
      </c>
    </row>
    <row r="40" spans="1:8" x14ac:dyDescent="0.25">
      <c r="A40" s="40">
        <v>3012</v>
      </c>
      <c r="B40" s="41" t="s">
        <v>38</v>
      </c>
      <c r="C40" s="37"/>
      <c r="D40" s="42"/>
      <c r="E40" s="46"/>
      <c r="F40" s="38"/>
      <c r="G40" s="38">
        <v>2017</v>
      </c>
      <c r="H40" s="39">
        <v>151.66999999999999</v>
      </c>
    </row>
    <row r="41" spans="1:8" x14ac:dyDescent="0.25">
      <c r="A41" s="40">
        <v>2007</v>
      </c>
      <c r="B41" s="41" t="s">
        <v>245</v>
      </c>
      <c r="C41" s="37"/>
      <c r="D41" s="42"/>
      <c r="E41" s="46"/>
      <c r="F41" s="38"/>
      <c r="G41" s="38">
        <v>2017</v>
      </c>
      <c r="H41" s="39">
        <v>3</v>
      </c>
    </row>
    <row r="42" spans="1:8" x14ac:dyDescent="0.25">
      <c r="A42" s="40">
        <v>1017</v>
      </c>
      <c r="B42" s="41" t="s">
        <v>208</v>
      </c>
      <c r="C42" s="37"/>
      <c r="D42" s="42"/>
      <c r="E42" s="46"/>
      <c r="F42" s="38"/>
      <c r="G42" s="38">
        <v>2017</v>
      </c>
      <c r="H42" s="39">
        <v>7</v>
      </c>
    </row>
    <row r="43" spans="1:8" x14ac:dyDescent="0.25">
      <c r="A43" s="40">
        <v>1008</v>
      </c>
      <c r="B43" s="41" t="s">
        <v>241</v>
      </c>
      <c r="C43" s="37"/>
      <c r="D43" s="42"/>
      <c r="E43" s="46"/>
      <c r="F43" s="38"/>
      <c r="G43" s="38">
        <v>2017</v>
      </c>
      <c r="H43" s="39">
        <v>2</v>
      </c>
    </row>
    <row r="44" spans="1:8" x14ac:dyDescent="0.25">
      <c r="A44" s="40">
        <v>1009</v>
      </c>
      <c r="B44" s="41" t="s">
        <v>221</v>
      </c>
      <c r="C44" s="37"/>
      <c r="D44" s="42"/>
      <c r="E44" s="46"/>
      <c r="F44" s="38"/>
      <c r="G44" s="38">
        <v>2017</v>
      </c>
      <c r="H44" s="39">
        <v>2</v>
      </c>
    </row>
    <row r="45" spans="1:8" x14ac:dyDescent="0.25">
      <c r="A45" s="40">
        <v>1004</v>
      </c>
      <c r="B45" s="41" t="s">
        <v>206</v>
      </c>
      <c r="C45" s="37"/>
      <c r="D45" s="42"/>
      <c r="E45" s="46"/>
      <c r="F45" s="38"/>
      <c r="G45" s="38">
        <v>2018</v>
      </c>
      <c r="H45" s="39">
        <v>7</v>
      </c>
    </row>
    <row r="46" spans="1:8" x14ac:dyDescent="0.25">
      <c r="A46" s="40">
        <v>1020</v>
      </c>
      <c r="B46" s="41" t="s">
        <v>202</v>
      </c>
      <c r="C46" s="37"/>
      <c r="D46" s="42"/>
      <c r="E46" s="46"/>
      <c r="F46" s="38"/>
      <c r="G46" s="38">
        <v>2018</v>
      </c>
      <c r="H46" s="39">
        <v>3.5</v>
      </c>
    </row>
    <row r="47" spans="1:8" x14ac:dyDescent="0.25">
      <c r="A47" s="40">
        <v>3043</v>
      </c>
      <c r="B47" s="41" t="s">
        <v>44</v>
      </c>
      <c r="C47" s="37"/>
      <c r="D47" s="42"/>
      <c r="E47" s="46"/>
      <c r="F47" s="38"/>
      <c r="G47" s="38">
        <v>2018</v>
      </c>
      <c r="H47" s="39">
        <v>151.66999999999999</v>
      </c>
    </row>
    <row r="48" spans="1:8" x14ac:dyDescent="0.25">
      <c r="A48" s="40">
        <v>3012</v>
      </c>
      <c r="B48" s="41" t="s">
        <v>38</v>
      </c>
      <c r="C48" s="37"/>
      <c r="D48" s="42"/>
      <c r="E48" s="46"/>
      <c r="F48" s="38"/>
      <c r="G48" s="38">
        <v>2019</v>
      </c>
      <c r="H48" s="39">
        <v>151.66999999999999</v>
      </c>
    </row>
    <row r="49" spans="1:8" x14ac:dyDescent="0.25">
      <c r="A49" s="40">
        <v>1017</v>
      </c>
      <c r="B49" s="41" t="s">
        <v>208</v>
      </c>
      <c r="C49" s="37"/>
      <c r="D49" s="42"/>
      <c r="E49" s="46"/>
      <c r="F49" s="38"/>
      <c r="G49" s="38">
        <v>2019</v>
      </c>
      <c r="H49" s="39">
        <v>7</v>
      </c>
    </row>
    <row r="50" spans="1:8" x14ac:dyDescent="0.25">
      <c r="A50" s="40">
        <v>2007</v>
      </c>
      <c r="B50" s="41" t="s">
        <v>245</v>
      </c>
      <c r="C50" s="37"/>
      <c r="D50" s="42"/>
      <c r="E50" s="46"/>
      <c r="F50" s="38"/>
      <c r="G50" s="38">
        <v>2020</v>
      </c>
      <c r="H50" s="39">
        <v>2.5</v>
      </c>
    </row>
    <row r="51" spans="1:8" x14ac:dyDescent="0.25">
      <c r="A51" s="40">
        <v>1001</v>
      </c>
      <c r="B51" s="41" t="s">
        <v>240</v>
      </c>
      <c r="C51" s="37"/>
      <c r="D51" s="42"/>
      <c r="E51" s="46"/>
      <c r="F51" s="38"/>
      <c r="G51" s="38">
        <v>2023</v>
      </c>
      <c r="H51" s="39">
        <v>21</v>
      </c>
    </row>
    <row r="52" spans="1:8" x14ac:dyDescent="0.25">
      <c r="A52" s="40">
        <v>1003</v>
      </c>
      <c r="B52" s="41" t="s">
        <v>205</v>
      </c>
      <c r="C52" s="37"/>
      <c r="D52" s="42"/>
      <c r="E52" s="46"/>
      <c r="F52" s="38"/>
      <c r="G52" s="38">
        <v>2023</v>
      </c>
      <c r="H52" s="39">
        <v>4</v>
      </c>
    </row>
    <row r="53" spans="1:8" x14ac:dyDescent="0.25">
      <c r="A53" s="40">
        <v>1004</v>
      </c>
      <c r="B53" s="41" t="s">
        <v>206</v>
      </c>
      <c r="C53" s="37"/>
      <c r="D53" s="42"/>
      <c r="E53" s="46"/>
      <c r="F53" s="38"/>
      <c r="G53" s="38">
        <v>2023</v>
      </c>
      <c r="H53" s="39">
        <v>7</v>
      </c>
    </row>
    <row r="54" spans="1:8" x14ac:dyDescent="0.25">
      <c r="A54" s="40">
        <v>1006</v>
      </c>
      <c r="B54" s="41" t="s">
        <v>150</v>
      </c>
      <c r="C54" s="37"/>
      <c r="D54" s="42"/>
      <c r="E54" s="46"/>
      <c r="F54" s="38"/>
      <c r="G54" s="38">
        <v>2023</v>
      </c>
      <c r="H54" s="39">
        <v>14</v>
      </c>
    </row>
    <row r="55" spans="1:8" x14ac:dyDescent="0.25">
      <c r="A55" s="40">
        <v>1008</v>
      </c>
      <c r="B55" s="41" t="s">
        <v>241</v>
      </c>
      <c r="C55" s="37"/>
      <c r="D55" s="42"/>
      <c r="E55" s="46"/>
      <c r="F55" s="38"/>
      <c r="G55" s="38">
        <v>2023</v>
      </c>
      <c r="H55" s="39">
        <v>2</v>
      </c>
    </row>
    <row r="56" spans="1:8" x14ac:dyDescent="0.25">
      <c r="A56" s="40">
        <v>1009</v>
      </c>
      <c r="B56" s="41" t="s">
        <v>221</v>
      </c>
      <c r="C56" s="37"/>
      <c r="D56" s="42"/>
      <c r="E56" s="46"/>
      <c r="F56" s="38"/>
      <c r="G56" s="38">
        <v>2023</v>
      </c>
      <c r="H56" s="39">
        <v>2</v>
      </c>
    </row>
    <row r="57" spans="1:8" x14ac:dyDescent="0.25">
      <c r="A57" s="40">
        <v>1012</v>
      </c>
      <c r="B57" s="41" t="s">
        <v>242</v>
      </c>
      <c r="C57" s="37"/>
      <c r="D57" s="42"/>
      <c r="E57" s="46"/>
      <c r="F57" s="38"/>
      <c r="G57" s="38">
        <v>2023</v>
      </c>
      <c r="H57" s="39">
        <v>3.5</v>
      </c>
    </row>
    <row r="58" spans="1:8" x14ac:dyDescent="0.25">
      <c r="A58" s="40">
        <v>1024</v>
      </c>
      <c r="B58" s="41" t="s">
        <v>203</v>
      </c>
      <c r="C58" s="37"/>
      <c r="D58" s="42"/>
      <c r="E58" s="46"/>
      <c r="F58" s="38"/>
      <c r="G58" s="38">
        <v>2023</v>
      </c>
      <c r="H58" s="39">
        <v>0.5</v>
      </c>
    </row>
    <row r="59" spans="1:8" x14ac:dyDescent="0.25">
      <c r="A59" s="40">
        <v>1030</v>
      </c>
      <c r="B59" s="41" t="s">
        <v>146</v>
      </c>
      <c r="C59" s="37"/>
      <c r="D59" s="42"/>
      <c r="E59" s="46"/>
      <c r="F59" s="38"/>
      <c r="G59" s="38">
        <v>2023</v>
      </c>
      <c r="H59" s="39">
        <v>0.5</v>
      </c>
    </row>
    <row r="60" spans="1:8" x14ac:dyDescent="0.25">
      <c r="A60" s="40">
        <v>1032</v>
      </c>
      <c r="B60" s="41" t="s">
        <v>210</v>
      </c>
      <c r="C60" s="37"/>
      <c r="D60" s="42"/>
      <c r="E60" s="46"/>
      <c r="F60" s="38"/>
      <c r="G60" s="38">
        <v>2024</v>
      </c>
      <c r="H60" s="39">
        <v>2</v>
      </c>
    </row>
    <row r="61" spans="1:8" x14ac:dyDescent="0.25">
      <c r="A61" s="40">
        <v>1020</v>
      </c>
      <c r="B61" s="41" t="s">
        <v>202</v>
      </c>
      <c r="C61" s="37"/>
      <c r="D61" s="42"/>
      <c r="E61" s="46"/>
      <c r="F61" s="38"/>
      <c r="G61" s="38">
        <v>2024</v>
      </c>
      <c r="H61" s="39">
        <v>3.5</v>
      </c>
    </row>
    <row r="62" spans="1:8" x14ac:dyDescent="0.25">
      <c r="A62" s="40">
        <v>2031</v>
      </c>
      <c r="B62" s="41" t="s">
        <v>180</v>
      </c>
      <c r="C62" s="37"/>
      <c r="D62" s="42"/>
      <c r="E62" s="46"/>
      <c r="F62" s="38"/>
      <c r="G62" s="38">
        <v>2024</v>
      </c>
      <c r="H62" s="39">
        <v>2</v>
      </c>
    </row>
    <row r="63" spans="1:8" x14ac:dyDescent="0.25">
      <c r="A63" s="40">
        <v>1016</v>
      </c>
      <c r="B63" s="41" t="s">
        <v>207</v>
      </c>
      <c r="C63" s="37"/>
      <c r="D63" s="42"/>
      <c r="E63" s="46"/>
      <c r="F63" s="38"/>
      <c r="G63" s="38">
        <v>2024</v>
      </c>
      <c r="H63" s="39">
        <v>7</v>
      </c>
    </row>
    <row r="64" spans="1:8" x14ac:dyDescent="0.25">
      <c r="A64" s="40">
        <v>2051</v>
      </c>
      <c r="B64" s="41" t="s">
        <v>279</v>
      </c>
      <c r="C64" s="37"/>
      <c r="D64" s="42"/>
      <c r="E64" s="46"/>
      <c r="F64" s="38"/>
      <c r="G64" s="38">
        <v>2025</v>
      </c>
      <c r="H64" s="39">
        <v>28</v>
      </c>
    </row>
    <row r="65" spans="1:8" x14ac:dyDescent="0.25">
      <c r="A65" s="40"/>
      <c r="B65" s="41"/>
      <c r="C65" s="37"/>
      <c r="D65" s="42"/>
      <c r="E65" s="46"/>
      <c r="F65" s="38"/>
      <c r="G65" s="38"/>
      <c r="H65" s="39"/>
    </row>
    <row r="66" spans="1:8" x14ac:dyDescent="0.25">
      <c r="A66" s="40"/>
      <c r="B66" s="41"/>
      <c r="C66" s="37"/>
      <c r="D66" s="42"/>
      <c r="E66" s="46"/>
      <c r="F66" s="38"/>
      <c r="G66" s="38"/>
      <c r="H66" s="39"/>
    </row>
    <row r="67" spans="1:8" x14ac:dyDescent="0.25">
      <c r="A67" s="40"/>
      <c r="B67" s="41"/>
      <c r="C67" s="37"/>
      <c r="D67" s="42"/>
      <c r="E67" s="46"/>
      <c r="F67" s="38"/>
      <c r="G67" s="38"/>
      <c r="H67" s="39"/>
    </row>
    <row r="68" spans="1:8" x14ac:dyDescent="0.25">
      <c r="A68" s="40"/>
      <c r="B68" s="41"/>
      <c r="C68" s="37"/>
      <c r="D68" s="42"/>
      <c r="E68" s="46"/>
      <c r="F68" s="38"/>
      <c r="G68" s="38"/>
      <c r="H68" s="39"/>
    </row>
    <row r="69" spans="1:8" x14ac:dyDescent="0.25">
      <c r="A69" s="40"/>
      <c r="B69" s="41"/>
      <c r="C69" s="37"/>
      <c r="D69" s="42"/>
      <c r="E69" s="46"/>
      <c r="F69" s="38"/>
      <c r="G69" s="38"/>
      <c r="H69" s="39"/>
    </row>
    <row r="70" spans="1:8" x14ac:dyDescent="0.25">
      <c r="A70" s="40"/>
      <c r="B70" s="41"/>
      <c r="C70" s="37"/>
      <c r="D70" s="42"/>
      <c r="E70" s="46"/>
      <c r="F70" s="38"/>
      <c r="G70" s="38"/>
      <c r="H70" s="39"/>
    </row>
    <row r="71" spans="1:8" x14ac:dyDescent="0.25">
      <c r="A71" s="40"/>
      <c r="B71" s="41"/>
      <c r="C71" s="37"/>
      <c r="D71" s="42"/>
      <c r="E71" s="46"/>
      <c r="F71" s="38"/>
      <c r="G71" s="38"/>
      <c r="H71" s="39"/>
    </row>
    <row r="72" spans="1:8" x14ac:dyDescent="0.25">
      <c r="A72" s="40"/>
      <c r="B72" s="41"/>
      <c r="C72" s="37"/>
      <c r="D72" s="42"/>
      <c r="E72" s="46"/>
      <c r="F72" s="38"/>
      <c r="G72" s="38"/>
      <c r="H72" s="39"/>
    </row>
    <row r="73" spans="1:8" x14ac:dyDescent="0.25">
      <c r="A73" s="40"/>
      <c r="B73" s="41"/>
      <c r="C73" s="37"/>
      <c r="D73" s="42"/>
      <c r="E73" s="46"/>
      <c r="F73" s="38"/>
      <c r="G73" s="38"/>
      <c r="H73" s="39"/>
    </row>
    <row r="74" spans="1:8" x14ac:dyDescent="0.25">
      <c r="A74" s="40"/>
      <c r="B74" s="41"/>
      <c r="C74" s="37"/>
      <c r="D74" s="42"/>
      <c r="E74" s="46"/>
      <c r="F74" s="38"/>
      <c r="G74" s="38"/>
      <c r="H74" s="39"/>
    </row>
    <row r="75" spans="1:8" x14ac:dyDescent="0.25">
      <c r="A75" s="40"/>
      <c r="B75" s="41"/>
      <c r="C75" s="37"/>
      <c r="D75" s="42"/>
      <c r="E75" s="46"/>
      <c r="F75" s="38"/>
      <c r="G75" s="38"/>
      <c r="H75" s="39"/>
    </row>
    <row r="76" spans="1:8" x14ac:dyDescent="0.25">
      <c r="A76" s="40"/>
      <c r="B76" s="41"/>
      <c r="C76" s="37"/>
      <c r="D76" s="42"/>
      <c r="E76" s="46"/>
      <c r="F76" s="38"/>
      <c r="G76" s="38"/>
      <c r="H76" s="39"/>
    </row>
    <row r="77" spans="1:8" x14ac:dyDescent="0.25">
      <c r="A77" s="40"/>
      <c r="B77" s="41"/>
      <c r="C77" s="37"/>
      <c r="D77" s="42"/>
      <c r="E77" s="46"/>
      <c r="F77" s="38"/>
      <c r="G77" s="38"/>
      <c r="H77" s="39"/>
    </row>
    <row r="78" spans="1:8" x14ac:dyDescent="0.25">
      <c r="A78" s="40"/>
      <c r="B78" s="41"/>
      <c r="C78" s="37"/>
      <c r="D78" s="42"/>
      <c r="E78" s="46"/>
      <c r="F78" s="38"/>
      <c r="G78" s="38"/>
      <c r="H78" s="39"/>
    </row>
    <row r="79" spans="1:8" x14ac:dyDescent="0.25">
      <c r="A79" s="40"/>
      <c r="B79" s="41"/>
      <c r="C79" s="37"/>
      <c r="D79" s="42"/>
      <c r="E79" s="46"/>
      <c r="F79" s="38"/>
      <c r="G79" s="38"/>
      <c r="H79" s="39"/>
    </row>
    <row r="80" spans="1:8" x14ac:dyDescent="0.25">
      <c r="A80" s="40"/>
      <c r="B80" s="41"/>
      <c r="C80" s="37"/>
      <c r="D80" s="42"/>
      <c r="E80" s="46"/>
      <c r="F80" s="38"/>
      <c r="G80" s="38"/>
      <c r="H80" s="39"/>
    </row>
    <row r="81" spans="1:8" x14ac:dyDescent="0.25">
      <c r="A81" s="40"/>
      <c r="B81" s="41"/>
      <c r="C81" s="37"/>
      <c r="D81" s="42"/>
      <c r="E81" s="46"/>
      <c r="F81" s="38"/>
      <c r="G81" s="38"/>
      <c r="H81" s="39"/>
    </row>
    <row r="82" spans="1:8" x14ac:dyDescent="0.25">
      <c r="A82" s="40"/>
      <c r="B82" s="41"/>
      <c r="C82" s="37"/>
      <c r="D82" s="42"/>
      <c r="E82" s="46"/>
      <c r="F82" s="38"/>
      <c r="G82" s="38"/>
      <c r="H82" s="39"/>
    </row>
    <row r="83" spans="1:8" x14ac:dyDescent="0.25">
      <c r="A83" s="40"/>
      <c r="B83" s="41"/>
      <c r="C83" s="37"/>
      <c r="D83" s="42"/>
      <c r="E83" s="46"/>
      <c r="F83" s="38"/>
      <c r="G83" s="38"/>
      <c r="H83" s="39"/>
    </row>
    <row r="84" spans="1:8" x14ac:dyDescent="0.25">
      <c r="A84" s="40"/>
      <c r="B84" s="41"/>
      <c r="C84" s="37"/>
      <c r="D84" s="42"/>
      <c r="E84" s="46"/>
      <c r="F84" s="38"/>
      <c r="G84" s="38"/>
      <c r="H84" s="39"/>
    </row>
    <row r="85" spans="1:8" x14ac:dyDescent="0.25">
      <c r="A85" s="40"/>
      <c r="B85" s="41"/>
      <c r="C85" s="37"/>
      <c r="D85" s="42"/>
      <c r="E85" s="46"/>
      <c r="F85" s="38"/>
      <c r="G85" s="38"/>
      <c r="H85" s="39"/>
    </row>
    <row r="86" spans="1:8" x14ac:dyDescent="0.25">
      <c r="A86" s="40"/>
      <c r="B86" s="41"/>
      <c r="C86" s="37"/>
      <c r="D86" s="42"/>
      <c r="E86" s="46"/>
      <c r="F86" s="38"/>
      <c r="G86" s="38"/>
      <c r="H86" s="39"/>
    </row>
    <row r="87" spans="1:8" x14ac:dyDescent="0.25">
      <c r="A87" s="40"/>
      <c r="B87" s="41"/>
      <c r="C87" s="37"/>
      <c r="D87" s="42"/>
      <c r="E87" s="46"/>
      <c r="F87" s="38"/>
      <c r="G87" s="38"/>
      <c r="H87" s="39"/>
    </row>
    <row r="88" spans="1:8" x14ac:dyDescent="0.25">
      <c r="A88" s="40"/>
      <c r="B88" s="41"/>
      <c r="C88" s="37"/>
      <c r="D88" s="42"/>
      <c r="E88" s="46"/>
      <c r="F88" s="38"/>
      <c r="G88" s="38"/>
      <c r="H88" s="39"/>
    </row>
    <row r="89" spans="1:8" x14ac:dyDescent="0.25">
      <c r="A89" s="40"/>
      <c r="B89" s="41"/>
      <c r="C89" s="37"/>
      <c r="D89" s="42"/>
      <c r="E89" s="46"/>
      <c r="F89" s="38"/>
      <c r="G89" s="38"/>
      <c r="H89" s="39"/>
    </row>
    <row r="90" spans="1:8" x14ac:dyDescent="0.25">
      <c r="A90" s="40"/>
      <c r="B90" s="41"/>
      <c r="C90" s="37"/>
      <c r="D90" s="42"/>
      <c r="E90" s="46"/>
      <c r="F90" s="38"/>
      <c r="G90" s="38"/>
      <c r="H90" s="39"/>
    </row>
    <row r="91" spans="1:8" x14ac:dyDescent="0.25">
      <c r="A91" s="40"/>
      <c r="B91" s="41"/>
      <c r="C91" s="37"/>
      <c r="D91" s="42"/>
      <c r="E91" s="46"/>
      <c r="F91" s="38"/>
      <c r="G91" s="38"/>
      <c r="H91" s="39"/>
    </row>
    <row r="92" spans="1:8" x14ac:dyDescent="0.25">
      <c r="A92" s="40"/>
      <c r="B92" s="41"/>
      <c r="C92" s="37"/>
      <c r="D92" s="42"/>
      <c r="E92" s="46"/>
      <c r="F92" s="38"/>
      <c r="G92" s="38"/>
      <c r="H92" s="39"/>
    </row>
    <row r="93" spans="1:8" x14ac:dyDescent="0.25">
      <c r="A93" s="40"/>
      <c r="B93" s="41"/>
      <c r="C93" s="37"/>
      <c r="D93" s="42"/>
      <c r="E93" s="46"/>
      <c r="F93" s="38"/>
      <c r="G93" s="38"/>
      <c r="H93" s="39"/>
    </row>
    <row r="94" spans="1:8" x14ac:dyDescent="0.25">
      <c r="A94" s="40"/>
      <c r="B94" s="41"/>
      <c r="C94" s="37"/>
      <c r="D94" s="42"/>
      <c r="E94" s="46"/>
      <c r="F94" s="38"/>
      <c r="G94" s="38"/>
      <c r="H94" s="39"/>
    </row>
    <row r="95" spans="1:8" x14ac:dyDescent="0.25">
      <c r="A95" s="40"/>
      <c r="B95" s="41"/>
      <c r="C95" s="37"/>
      <c r="D95" s="42"/>
      <c r="E95" s="46"/>
      <c r="F95" s="38"/>
      <c r="G95" s="38"/>
      <c r="H95" s="39"/>
    </row>
    <row r="96" spans="1:8" x14ac:dyDescent="0.25">
      <c r="A96" s="40"/>
      <c r="B96" s="41"/>
      <c r="C96" s="37"/>
      <c r="D96" s="42"/>
      <c r="E96" s="46"/>
      <c r="F96" s="38"/>
      <c r="G96" s="38"/>
      <c r="H96" s="39"/>
    </row>
    <row r="97" spans="1:8" x14ac:dyDescent="0.25">
      <c r="A97" s="40"/>
      <c r="B97" s="41"/>
      <c r="C97" s="37"/>
      <c r="D97" s="42"/>
      <c r="E97" s="46"/>
      <c r="F97" s="38"/>
      <c r="G97" s="38"/>
      <c r="H97" s="39"/>
    </row>
    <row r="98" spans="1:8" x14ac:dyDescent="0.25">
      <c r="A98" s="40"/>
      <c r="B98" s="41"/>
      <c r="C98" s="37"/>
      <c r="D98" s="42"/>
      <c r="E98" s="46"/>
      <c r="F98" s="38"/>
      <c r="G98" s="38"/>
      <c r="H98" s="39"/>
    </row>
    <row r="99" spans="1:8" x14ac:dyDescent="0.25">
      <c r="A99" s="40"/>
      <c r="B99" s="41"/>
      <c r="C99" s="37"/>
      <c r="D99" s="42"/>
      <c r="E99" s="46"/>
      <c r="F99" s="38"/>
      <c r="G99" s="38"/>
      <c r="H99" s="39"/>
    </row>
    <row r="100" spans="1:8" x14ac:dyDescent="0.25">
      <c r="A100" s="40"/>
      <c r="B100" s="41"/>
      <c r="C100" s="37"/>
      <c r="D100" s="42"/>
      <c r="E100" s="46"/>
      <c r="F100" s="38"/>
      <c r="G100" s="38"/>
      <c r="H100" s="39"/>
    </row>
    <row r="101" spans="1:8" x14ac:dyDescent="0.25">
      <c r="A101" s="40"/>
      <c r="B101" s="41"/>
      <c r="C101" s="37"/>
      <c r="D101" s="42"/>
      <c r="E101" s="46"/>
      <c r="F101" s="38"/>
      <c r="G101" s="38"/>
      <c r="H101" s="39"/>
    </row>
    <row r="102" spans="1:8" x14ac:dyDescent="0.25">
      <c r="A102" s="40"/>
      <c r="B102" s="41"/>
      <c r="C102" s="37"/>
      <c r="D102" s="42"/>
      <c r="E102" s="46"/>
      <c r="F102" s="38"/>
      <c r="G102" s="38"/>
      <c r="H102" s="39"/>
    </row>
    <row r="103" spans="1:8" x14ac:dyDescent="0.25">
      <c r="A103" s="40"/>
      <c r="B103" s="41"/>
      <c r="C103" s="37"/>
      <c r="D103" s="42"/>
      <c r="E103" s="46"/>
      <c r="F103" s="38"/>
      <c r="G103" s="38"/>
      <c r="H103" s="39"/>
    </row>
    <row r="104" spans="1:8" x14ac:dyDescent="0.25">
      <c r="A104" s="40"/>
      <c r="B104" s="41"/>
      <c r="C104" s="37"/>
      <c r="D104" s="42"/>
      <c r="E104" s="46"/>
      <c r="F104" s="38"/>
      <c r="G104" s="38"/>
      <c r="H104" s="39"/>
    </row>
    <row r="105" spans="1:8" x14ac:dyDescent="0.25">
      <c r="A105" s="40"/>
      <c r="B105" s="41"/>
      <c r="C105" s="37"/>
      <c r="D105" s="42"/>
      <c r="E105" s="46"/>
      <c r="F105" s="38"/>
      <c r="G105" s="38"/>
      <c r="H105" s="39"/>
    </row>
    <row r="106" spans="1:8" x14ac:dyDescent="0.25">
      <c r="A106" s="40"/>
      <c r="B106" s="41"/>
      <c r="C106" s="37"/>
      <c r="D106" s="42"/>
      <c r="E106" s="46"/>
      <c r="F106" s="38"/>
      <c r="G106" s="38"/>
      <c r="H106" s="39"/>
    </row>
    <row r="107" spans="1:8" x14ac:dyDescent="0.25">
      <c r="A107" s="40"/>
      <c r="B107" s="41"/>
      <c r="C107" s="37"/>
      <c r="D107" s="42"/>
      <c r="E107" s="46"/>
      <c r="F107" s="38"/>
      <c r="G107" s="38"/>
      <c r="H107" s="39"/>
    </row>
    <row r="108" spans="1:8" x14ac:dyDescent="0.25">
      <c r="A108" s="40"/>
      <c r="B108" s="41"/>
      <c r="C108" s="37"/>
      <c r="D108" s="42"/>
      <c r="E108" s="46"/>
      <c r="F108" s="38"/>
      <c r="G108" s="38"/>
      <c r="H108" s="39"/>
    </row>
    <row r="109" spans="1:8" x14ac:dyDescent="0.25">
      <c r="A109" s="40"/>
      <c r="B109" s="41"/>
      <c r="C109" s="37"/>
      <c r="D109" s="42"/>
      <c r="E109" s="46"/>
      <c r="F109" s="38"/>
      <c r="G109" s="38"/>
      <c r="H109" s="39"/>
    </row>
    <row r="110" spans="1:8" x14ac:dyDescent="0.25">
      <c r="A110" s="40"/>
      <c r="B110" s="41"/>
      <c r="C110" s="37"/>
      <c r="D110" s="42"/>
      <c r="E110" s="46"/>
      <c r="F110" s="38"/>
      <c r="G110" s="38"/>
      <c r="H110" s="39"/>
    </row>
    <row r="111" spans="1:8" x14ac:dyDescent="0.25">
      <c r="A111" s="40"/>
      <c r="B111" s="41"/>
      <c r="C111" s="37"/>
      <c r="D111" s="42"/>
      <c r="E111" s="46"/>
      <c r="F111" s="38"/>
      <c r="G111" s="38"/>
      <c r="H111" s="39"/>
    </row>
    <row r="112" spans="1:8" x14ac:dyDescent="0.25">
      <c r="A112" s="40"/>
      <c r="B112" s="41"/>
      <c r="C112" s="37"/>
      <c r="D112" s="42"/>
      <c r="E112" s="46"/>
      <c r="F112" s="38"/>
      <c r="G112" s="38"/>
      <c r="H112" s="39"/>
    </row>
    <row r="113" spans="1:8" x14ac:dyDescent="0.25">
      <c r="A113" s="40"/>
      <c r="B113" s="41"/>
      <c r="C113" s="37"/>
      <c r="D113" s="42"/>
      <c r="E113" s="46"/>
      <c r="F113" s="38"/>
      <c r="G113" s="38"/>
      <c r="H113" s="39"/>
    </row>
    <row r="114" spans="1:8" x14ac:dyDescent="0.25">
      <c r="A114" s="40"/>
      <c r="B114" s="41"/>
      <c r="C114" s="37"/>
      <c r="D114" s="42"/>
      <c r="E114" s="46"/>
      <c r="F114" s="38"/>
      <c r="G114" s="38"/>
      <c r="H114" s="39"/>
    </row>
    <row r="115" spans="1:8" x14ac:dyDescent="0.25">
      <c r="A115" s="40"/>
      <c r="B115" s="41"/>
      <c r="C115" s="37"/>
      <c r="D115" s="42"/>
      <c r="E115" s="46"/>
      <c r="F115" s="38"/>
      <c r="G115" s="38"/>
      <c r="H115" s="39"/>
    </row>
    <row r="116" spans="1:8" x14ac:dyDescent="0.25">
      <c r="A116" s="40"/>
      <c r="B116" s="41"/>
      <c r="C116" s="37"/>
      <c r="D116" s="42"/>
      <c r="E116" s="46"/>
      <c r="F116" s="38"/>
      <c r="G116" s="38"/>
      <c r="H116" s="39"/>
    </row>
    <row r="117" spans="1:8" x14ac:dyDescent="0.25">
      <c r="A117" s="40"/>
      <c r="B117" s="41"/>
      <c r="C117" s="37"/>
      <c r="D117" s="42"/>
      <c r="E117" s="46"/>
      <c r="F117" s="38"/>
      <c r="G117" s="38"/>
      <c r="H117" s="39"/>
    </row>
    <row r="118" spans="1:8" x14ac:dyDescent="0.25">
      <c r="A118" s="40"/>
      <c r="B118" s="41"/>
      <c r="C118" s="37"/>
      <c r="D118" s="42"/>
      <c r="E118" s="46"/>
      <c r="F118" s="38"/>
      <c r="G118" s="38"/>
      <c r="H118" s="39"/>
    </row>
    <row r="119" spans="1:8" x14ac:dyDescent="0.25">
      <c r="A119" s="40"/>
      <c r="B119" s="41"/>
      <c r="C119" s="37"/>
      <c r="D119" s="42"/>
      <c r="E119" s="46"/>
      <c r="F119" s="38"/>
      <c r="G119" s="38"/>
      <c r="H119" s="39"/>
    </row>
    <row r="120" spans="1:8" x14ac:dyDescent="0.25">
      <c r="A120" s="40"/>
      <c r="B120" s="41"/>
      <c r="C120" s="37"/>
      <c r="D120" s="42"/>
      <c r="E120" s="46"/>
      <c r="F120" s="38"/>
      <c r="G120" s="38"/>
      <c r="H120" s="39"/>
    </row>
    <row r="121" spans="1:8" x14ac:dyDescent="0.25">
      <c r="A121" s="40"/>
      <c r="B121" s="41"/>
      <c r="C121" s="37"/>
      <c r="D121" s="42"/>
      <c r="E121" s="46"/>
      <c r="F121" s="38"/>
      <c r="G121" s="38"/>
      <c r="H121" s="39"/>
    </row>
    <row r="122" spans="1:8" x14ac:dyDescent="0.25">
      <c r="A122" s="40"/>
      <c r="B122" s="41"/>
      <c r="C122" s="37"/>
      <c r="D122" s="42"/>
      <c r="E122" s="46"/>
      <c r="F122" s="38"/>
      <c r="G122" s="38"/>
      <c r="H122" s="39"/>
    </row>
    <row r="123" spans="1:8" x14ac:dyDescent="0.25">
      <c r="A123" s="40"/>
      <c r="B123" s="41"/>
      <c r="C123" s="37"/>
      <c r="D123" s="42"/>
      <c r="E123" s="46"/>
      <c r="F123" s="38"/>
      <c r="G123" s="38"/>
      <c r="H123" s="43"/>
    </row>
    <row r="124" spans="1:8" ht="15.75" thickBot="1" x14ac:dyDescent="0.3">
      <c r="A124" s="30"/>
      <c r="B124" s="27"/>
      <c r="C124" s="28"/>
      <c r="D124" s="31"/>
      <c r="E124" s="47"/>
      <c r="F124" s="57"/>
      <c r="G124" s="57"/>
      <c r="H124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24"/>
  <sheetViews>
    <sheetView workbookViewId="0">
      <selection activeCell="F10" sqref="F10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8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8" ht="18.75" x14ac:dyDescent="0.3">
      <c r="A2" s="19"/>
      <c r="B2" s="24"/>
      <c r="D2" s="19"/>
      <c r="E2" s="19"/>
      <c r="F2" s="55"/>
    </row>
    <row r="3" spans="1:8" ht="18.75" x14ac:dyDescent="0.3">
      <c r="A3" s="20" t="s">
        <v>251</v>
      </c>
      <c r="C3" s="25">
        <v>48</v>
      </c>
      <c r="D3" s="19"/>
      <c r="E3" s="19"/>
      <c r="F3" s="55"/>
    </row>
    <row r="4" spans="1:8" ht="18.75" x14ac:dyDescent="0.3">
      <c r="A4" s="19"/>
      <c r="B4" s="24"/>
      <c r="D4" s="19"/>
      <c r="E4" s="19"/>
      <c r="F4" s="55"/>
    </row>
    <row r="5" spans="1:8" ht="18.75" x14ac:dyDescent="0.3">
      <c r="A5" s="20" t="s">
        <v>256</v>
      </c>
      <c r="C5" s="26" t="str">
        <f>VLOOKUP(C3,'Liste salariés'!A3:G104,2,FALSE)</f>
        <v>SICRE Pierre</v>
      </c>
      <c r="D5" s="19"/>
      <c r="E5" s="19"/>
      <c r="F5" s="55"/>
    </row>
    <row r="6" spans="1:8" ht="39.75" customHeight="1" x14ac:dyDescent="0.3">
      <c r="A6" s="20" t="s">
        <v>252</v>
      </c>
      <c r="C6" s="23">
        <f>VLOOKUP(C3,'Liste salariés'!A3:J103,6,FALSE)</f>
        <v>25875</v>
      </c>
      <c r="D6" s="20" t="s">
        <v>253</v>
      </c>
      <c r="E6" s="49">
        <f ca="1">(B1-C6)/365</f>
        <v>55.389041095890413</v>
      </c>
      <c r="F6" s="48"/>
    </row>
    <row r="7" spans="1:8" ht="26.25" customHeight="1" x14ac:dyDescent="0.3">
      <c r="A7" s="20" t="s">
        <v>254</v>
      </c>
      <c r="C7" s="23">
        <f>VLOOKUP(C3,'Liste salariés'!A3:J105,3,FALSE)</f>
        <v>33338</v>
      </c>
      <c r="D7" s="20" t="s">
        <v>255</v>
      </c>
      <c r="E7" s="49">
        <f ca="1">(B1-C7)/365</f>
        <v>34.942465753424656</v>
      </c>
      <c r="F7" s="48"/>
    </row>
    <row r="8" spans="1:8" x14ac:dyDescent="0.25">
      <c r="B8"/>
    </row>
    <row r="9" spans="1:8" x14ac:dyDescent="0.25">
      <c r="B9"/>
    </row>
    <row r="10" spans="1:8" ht="18.75" x14ac:dyDescent="0.3">
      <c r="A10" s="20" t="s">
        <v>257</v>
      </c>
      <c r="B10"/>
    </row>
    <row r="11" spans="1:8" ht="15.75" thickBot="1" x14ac:dyDescent="0.3"/>
    <row r="12" spans="1:8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8" ht="20.100000000000001" customHeight="1" x14ac:dyDescent="0.25">
      <c r="A13" s="32">
        <v>3001</v>
      </c>
      <c r="B13" s="60" t="s">
        <v>23</v>
      </c>
      <c r="C13" s="33"/>
      <c r="D13" s="44"/>
      <c r="E13" s="45"/>
      <c r="F13" s="34"/>
      <c r="G13" s="34">
        <v>2010</v>
      </c>
      <c r="H13" s="35">
        <v>151.66999999999999</v>
      </c>
    </row>
    <row r="14" spans="1:8" ht="20.100000000000001" customHeight="1" x14ac:dyDescent="0.25">
      <c r="A14" s="36">
        <v>3002</v>
      </c>
      <c r="B14" s="59" t="s">
        <v>24</v>
      </c>
      <c r="C14" s="37"/>
      <c r="D14" s="42"/>
      <c r="E14" s="46"/>
      <c r="F14" s="38"/>
      <c r="G14" s="38">
        <v>2010</v>
      </c>
      <c r="H14" s="39">
        <v>151.66999999999999</v>
      </c>
    </row>
    <row r="15" spans="1:8" ht="20.100000000000001" customHeight="1" x14ac:dyDescent="0.25">
      <c r="A15" s="36">
        <v>3004</v>
      </c>
      <c r="B15" s="59" t="s">
        <v>34</v>
      </c>
      <c r="C15" s="37"/>
      <c r="D15" s="42"/>
      <c r="E15" s="46"/>
      <c r="F15" s="38"/>
      <c r="G15" s="38">
        <v>2010</v>
      </c>
      <c r="H15" s="39">
        <v>151.66999999999999</v>
      </c>
    </row>
    <row r="16" spans="1:8" ht="20.100000000000001" customHeight="1" x14ac:dyDescent="0.25">
      <c r="A16" s="36">
        <v>1004</v>
      </c>
      <c r="B16" s="59" t="s">
        <v>206</v>
      </c>
      <c r="C16" s="37"/>
      <c r="D16" s="42"/>
      <c r="E16" s="46"/>
      <c r="F16" s="38"/>
      <c r="G16" s="38">
        <v>2010</v>
      </c>
      <c r="H16" s="39">
        <v>7</v>
      </c>
    </row>
    <row r="17" spans="1:8" ht="20.100000000000001" customHeight="1" x14ac:dyDescent="0.25">
      <c r="A17" s="36">
        <v>3003</v>
      </c>
      <c r="B17" s="59" t="s">
        <v>162</v>
      </c>
      <c r="C17" s="37"/>
      <c r="D17" s="42"/>
      <c r="E17" s="46"/>
      <c r="F17" s="38"/>
      <c r="G17" s="38">
        <v>2011</v>
      </c>
      <c r="H17" s="39">
        <v>151.66999999999999</v>
      </c>
    </row>
    <row r="18" spans="1:8" ht="20.100000000000001" customHeight="1" x14ac:dyDescent="0.25">
      <c r="A18" s="36">
        <v>3001</v>
      </c>
      <c r="B18" s="59" t="s">
        <v>23</v>
      </c>
      <c r="C18" s="37"/>
      <c r="D18" s="42"/>
      <c r="E18" s="46"/>
      <c r="F18" s="38"/>
      <c r="G18" s="38">
        <v>2012</v>
      </c>
      <c r="H18" s="39">
        <v>151.66999999999999</v>
      </c>
    </row>
    <row r="19" spans="1:8" ht="20.100000000000001" customHeight="1" x14ac:dyDescent="0.25">
      <c r="A19" s="36">
        <v>1006</v>
      </c>
      <c r="B19" s="59" t="s">
        <v>150</v>
      </c>
      <c r="C19" s="37"/>
      <c r="D19" s="42"/>
      <c r="E19" s="46"/>
      <c r="F19" s="38"/>
      <c r="G19" s="38">
        <v>2012</v>
      </c>
      <c r="H19" s="39">
        <v>7</v>
      </c>
    </row>
    <row r="20" spans="1:8" ht="20.100000000000001" customHeight="1" x14ac:dyDescent="0.25">
      <c r="A20" s="36">
        <v>3003</v>
      </c>
      <c r="B20" s="59" t="s">
        <v>162</v>
      </c>
      <c r="C20" s="37"/>
      <c r="D20" s="42"/>
      <c r="E20" s="46"/>
      <c r="F20" s="38"/>
      <c r="G20" s="38">
        <v>2013</v>
      </c>
      <c r="H20" s="39">
        <v>151.66999999999999</v>
      </c>
    </row>
    <row r="21" spans="1:8" ht="20.100000000000001" customHeight="1" x14ac:dyDescent="0.25">
      <c r="A21" s="36">
        <v>3005</v>
      </c>
      <c r="B21" s="59" t="s">
        <v>31</v>
      </c>
      <c r="C21" s="37"/>
      <c r="D21" s="42"/>
      <c r="E21" s="46"/>
      <c r="F21" s="38"/>
      <c r="G21" s="38">
        <v>2013</v>
      </c>
      <c r="H21" s="39">
        <v>151.66999999999999</v>
      </c>
    </row>
    <row r="22" spans="1:8" ht="20.100000000000001" customHeight="1" x14ac:dyDescent="0.25">
      <c r="A22" s="36">
        <v>3006</v>
      </c>
      <c r="B22" s="59" t="s">
        <v>25</v>
      </c>
      <c r="C22" s="37"/>
      <c r="D22" s="42"/>
      <c r="E22" s="46"/>
      <c r="F22" s="38"/>
      <c r="G22" s="38">
        <v>2013</v>
      </c>
      <c r="H22" s="39">
        <v>151.66999999999999</v>
      </c>
    </row>
    <row r="23" spans="1:8" ht="20.100000000000001" customHeight="1" x14ac:dyDescent="0.25">
      <c r="A23" s="36">
        <v>3001</v>
      </c>
      <c r="B23" s="59" t="s">
        <v>23</v>
      </c>
      <c r="C23" s="37"/>
      <c r="D23" s="42"/>
      <c r="E23" s="46"/>
      <c r="F23" s="38"/>
      <c r="G23" s="38">
        <v>2015</v>
      </c>
      <c r="H23" s="39">
        <v>151.66999999999999</v>
      </c>
    </row>
    <row r="24" spans="1:8" ht="20.100000000000001" customHeight="1" x14ac:dyDescent="0.25">
      <c r="A24" s="36">
        <v>3002</v>
      </c>
      <c r="B24" s="59" t="s">
        <v>24</v>
      </c>
      <c r="C24" s="37"/>
      <c r="D24" s="42"/>
      <c r="E24" s="46"/>
      <c r="F24" s="38"/>
      <c r="G24" s="38">
        <v>2015</v>
      </c>
      <c r="H24" s="39">
        <v>151.66999999999999</v>
      </c>
    </row>
    <row r="25" spans="1:8" ht="20.100000000000001" customHeight="1" x14ac:dyDescent="0.25">
      <c r="A25" s="36">
        <v>3003</v>
      </c>
      <c r="B25" s="59" t="s">
        <v>162</v>
      </c>
      <c r="C25" s="37"/>
      <c r="D25" s="42"/>
      <c r="E25" s="46"/>
      <c r="F25" s="38"/>
      <c r="G25" s="38">
        <v>2015</v>
      </c>
      <c r="H25" s="39">
        <v>151.66999999999999</v>
      </c>
    </row>
    <row r="26" spans="1:8" ht="20.100000000000001" customHeight="1" x14ac:dyDescent="0.25">
      <c r="A26" s="36">
        <v>3005</v>
      </c>
      <c r="B26" s="59" t="s">
        <v>31</v>
      </c>
      <c r="C26" s="37"/>
      <c r="D26" s="42"/>
      <c r="E26" s="46"/>
      <c r="F26" s="38"/>
      <c r="G26" s="38">
        <v>2015</v>
      </c>
      <c r="H26" s="39">
        <v>151.66999999999999</v>
      </c>
    </row>
    <row r="27" spans="1:8" ht="20.100000000000001" customHeight="1" x14ac:dyDescent="0.25">
      <c r="A27" s="36">
        <v>3006</v>
      </c>
      <c r="B27" s="59" t="s">
        <v>25</v>
      </c>
      <c r="C27" s="37"/>
      <c r="D27" s="42"/>
      <c r="E27" s="46"/>
      <c r="F27" s="38"/>
      <c r="G27" s="38">
        <v>2015</v>
      </c>
      <c r="H27" s="39">
        <v>151.66999999999999</v>
      </c>
    </row>
    <row r="28" spans="1:8" ht="20.100000000000001" customHeight="1" x14ac:dyDescent="0.25">
      <c r="A28" s="36">
        <v>3008</v>
      </c>
      <c r="B28" s="59" t="s">
        <v>33</v>
      </c>
      <c r="C28" s="37"/>
      <c r="D28" s="42"/>
      <c r="E28" s="46"/>
      <c r="F28" s="38"/>
      <c r="G28" s="38">
        <v>2015</v>
      </c>
      <c r="H28" s="39">
        <v>151.66999999999999</v>
      </c>
    </row>
    <row r="29" spans="1:8" ht="20.100000000000001" customHeight="1" x14ac:dyDescent="0.25">
      <c r="A29" s="36">
        <v>3001</v>
      </c>
      <c r="B29" s="59" t="s">
        <v>23</v>
      </c>
      <c r="C29" s="37"/>
      <c r="D29" s="42"/>
      <c r="E29" s="46"/>
      <c r="F29" s="38"/>
      <c r="G29" s="38">
        <v>2017</v>
      </c>
      <c r="H29" s="39">
        <v>151.66999999999999</v>
      </c>
    </row>
    <row r="30" spans="1:8" ht="20.100000000000001" customHeight="1" x14ac:dyDescent="0.25">
      <c r="A30" s="36">
        <v>3002</v>
      </c>
      <c r="B30" s="59" t="s">
        <v>24</v>
      </c>
      <c r="C30" s="37"/>
      <c r="D30" s="42"/>
      <c r="E30" s="46"/>
      <c r="F30" s="38"/>
      <c r="G30" s="38">
        <v>2017</v>
      </c>
      <c r="H30" s="39">
        <v>151.66999999999999</v>
      </c>
    </row>
    <row r="31" spans="1:8" ht="20.100000000000001" customHeight="1" x14ac:dyDescent="0.25">
      <c r="A31" s="36">
        <v>3003</v>
      </c>
      <c r="B31" s="59" t="s">
        <v>162</v>
      </c>
      <c r="C31" s="37"/>
      <c r="D31" s="42"/>
      <c r="E31" s="46"/>
      <c r="F31" s="38"/>
      <c r="G31" s="38">
        <v>2017</v>
      </c>
      <c r="H31" s="39">
        <v>151.66999999999999</v>
      </c>
    </row>
    <row r="32" spans="1:8" ht="20.100000000000001" customHeight="1" x14ac:dyDescent="0.25">
      <c r="A32" s="36">
        <v>3005</v>
      </c>
      <c r="B32" s="59" t="s">
        <v>31</v>
      </c>
      <c r="C32" s="37"/>
      <c r="D32" s="42"/>
      <c r="E32" s="46"/>
      <c r="F32" s="38"/>
      <c r="G32" s="38">
        <v>2017</v>
      </c>
      <c r="H32" s="39">
        <v>151.66999999999999</v>
      </c>
    </row>
    <row r="33" spans="1:8" ht="20.100000000000001" customHeight="1" x14ac:dyDescent="0.25">
      <c r="A33" s="36">
        <v>3006</v>
      </c>
      <c r="B33" s="37" t="s">
        <v>25</v>
      </c>
      <c r="C33" s="37"/>
      <c r="D33" s="42"/>
      <c r="E33" s="46"/>
      <c r="F33" s="38"/>
      <c r="G33" s="38">
        <v>2017</v>
      </c>
      <c r="H33" s="39">
        <v>151.66999999999999</v>
      </c>
    </row>
    <row r="34" spans="1:8" ht="20.100000000000001" customHeight="1" x14ac:dyDescent="0.25">
      <c r="A34" s="36">
        <v>3008</v>
      </c>
      <c r="B34" s="37" t="s">
        <v>33</v>
      </c>
      <c r="C34" s="37"/>
      <c r="D34" s="42"/>
      <c r="E34" s="46"/>
      <c r="F34" s="38"/>
      <c r="G34" s="38">
        <v>2017</v>
      </c>
      <c r="H34" s="39">
        <v>151.66999999999999</v>
      </c>
    </row>
    <row r="35" spans="1:8" ht="20.100000000000001" customHeight="1" x14ac:dyDescent="0.25">
      <c r="A35" s="36">
        <v>3040</v>
      </c>
      <c r="B35" s="37" t="s">
        <v>27</v>
      </c>
      <c r="C35" s="37"/>
      <c r="D35" s="42"/>
      <c r="E35" s="46"/>
      <c r="F35" s="38"/>
      <c r="G35" s="38">
        <v>2017</v>
      </c>
      <c r="H35" s="39">
        <v>151.66999999999999</v>
      </c>
    </row>
    <row r="36" spans="1:8" ht="20.100000000000001" customHeight="1" x14ac:dyDescent="0.25">
      <c r="A36" s="36">
        <v>2007</v>
      </c>
      <c r="B36" s="37" t="s">
        <v>245</v>
      </c>
      <c r="C36" s="37"/>
      <c r="D36" s="42"/>
      <c r="E36" s="46"/>
      <c r="F36" s="38"/>
      <c r="G36" s="38">
        <v>2017</v>
      </c>
      <c r="H36" s="39">
        <v>13</v>
      </c>
    </row>
    <row r="37" spans="1:8" x14ac:dyDescent="0.25">
      <c r="A37" s="40">
        <v>3014</v>
      </c>
      <c r="B37" s="41" t="s">
        <v>47</v>
      </c>
      <c r="C37" s="37"/>
      <c r="D37" s="42"/>
      <c r="E37" s="46"/>
      <c r="F37" s="38"/>
      <c r="G37" s="38">
        <v>2018</v>
      </c>
      <c r="H37" s="39">
        <v>151.66999999999999</v>
      </c>
    </row>
    <row r="38" spans="1:8" x14ac:dyDescent="0.25">
      <c r="A38" s="40">
        <v>3037</v>
      </c>
      <c r="B38" s="41" t="s">
        <v>29</v>
      </c>
      <c r="C38" s="37"/>
      <c r="D38" s="42"/>
      <c r="E38" s="46"/>
      <c r="F38" s="56"/>
      <c r="G38" s="38">
        <v>2018</v>
      </c>
      <c r="H38" s="39">
        <v>151.66999999999999</v>
      </c>
    </row>
    <row r="39" spans="1:8" x14ac:dyDescent="0.25">
      <c r="A39" s="40">
        <v>2001</v>
      </c>
      <c r="B39" s="41" t="s">
        <v>168</v>
      </c>
      <c r="C39" s="37"/>
      <c r="D39" s="42"/>
      <c r="E39" s="46"/>
      <c r="F39" s="38"/>
      <c r="G39" s="38">
        <v>2018</v>
      </c>
      <c r="H39" s="39">
        <v>42</v>
      </c>
    </row>
    <row r="40" spans="1:8" x14ac:dyDescent="0.25">
      <c r="A40" s="40">
        <v>1020</v>
      </c>
      <c r="B40" s="41" t="s">
        <v>202</v>
      </c>
      <c r="C40" s="37"/>
      <c r="D40" s="42"/>
      <c r="E40" s="46"/>
      <c r="F40" s="38"/>
      <c r="G40" s="38">
        <v>2018</v>
      </c>
      <c r="H40" s="39">
        <v>3.5</v>
      </c>
    </row>
    <row r="41" spans="1:8" x14ac:dyDescent="0.25">
      <c r="A41" s="40">
        <v>1004</v>
      </c>
      <c r="B41" s="41" t="s">
        <v>206</v>
      </c>
      <c r="C41" s="37"/>
      <c r="D41" s="42"/>
      <c r="E41" s="46"/>
      <c r="F41" s="38"/>
      <c r="G41" s="38">
        <v>2018</v>
      </c>
      <c r="H41" s="39">
        <v>7</v>
      </c>
    </row>
    <row r="42" spans="1:8" x14ac:dyDescent="0.25">
      <c r="A42" s="40">
        <v>1022</v>
      </c>
      <c r="B42" s="41" t="s">
        <v>220</v>
      </c>
      <c r="C42" s="37"/>
      <c r="D42" s="42"/>
      <c r="E42" s="46"/>
      <c r="F42" s="38"/>
      <c r="G42" s="38">
        <v>2019</v>
      </c>
      <c r="H42" s="39">
        <v>0.16</v>
      </c>
    </row>
    <row r="43" spans="1:8" x14ac:dyDescent="0.25">
      <c r="A43" s="40">
        <v>3001</v>
      </c>
      <c r="B43" s="41" t="s">
        <v>23</v>
      </c>
      <c r="C43" s="37"/>
      <c r="D43" s="42"/>
      <c r="E43" s="46"/>
      <c r="F43" s="38"/>
      <c r="G43" s="38">
        <v>2019</v>
      </c>
      <c r="H43" s="39">
        <v>151.66999999999999</v>
      </c>
    </row>
    <row r="44" spans="1:8" x14ac:dyDescent="0.25">
      <c r="A44" s="40">
        <v>3002</v>
      </c>
      <c r="B44" s="41" t="s">
        <v>24</v>
      </c>
      <c r="C44" s="37"/>
      <c r="D44" s="42"/>
      <c r="E44" s="46"/>
      <c r="F44" s="38"/>
      <c r="G44" s="38">
        <v>2019</v>
      </c>
      <c r="H44" s="39">
        <v>151.66999999999999</v>
      </c>
    </row>
    <row r="45" spans="1:8" x14ac:dyDescent="0.25">
      <c r="A45" s="40">
        <v>3004</v>
      </c>
      <c r="B45" s="41" t="s">
        <v>34</v>
      </c>
      <c r="C45" s="37"/>
      <c r="D45" s="42"/>
      <c r="E45" s="46"/>
      <c r="F45" s="38"/>
      <c r="G45" s="38">
        <v>2019</v>
      </c>
      <c r="H45" s="39">
        <v>151.66999999999999</v>
      </c>
    </row>
    <row r="46" spans="1:8" x14ac:dyDescent="0.25">
      <c r="A46" s="40">
        <v>3005</v>
      </c>
      <c r="B46" s="41" t="s">
        <v>31</v>
      </c>
      <c r="C46" s="37"/>
      <c r="D46" s="42"/>
      <c r="E46" s="46"/>
      <c r="F46" s="38"/>
      <c r="G46" s="38">
        <v>2019</v>
      </c>
      <c r="H46" s="39">
        <v>151.66999999999999</v>
      </c>
    </row>
    <row r="47" spans="1:8" x14ac:dyDescent="0.25">
      <c r="A47" s="40">
        <v>3006</v>
      </c>
      <c r="B47" s="41" t="s">
        <v>25</v>
      </c>
      <c r="C47" s="37"/>
      <c r="D47" s="42"/>
      <c r="E47" s="46"/>
      <c r="F47" s="38"/>
      <c r="G47" s="38">
        <v>2019</v>
      </c>
      <c r="H47" s="39">
        <v>151.66999999999999</v>
      </c>
    </row>
    <row r="48" spans="1:8" x14ac:dyDescent="0.25">
      <c r="A48" s="40">
        <v>3008</v>
      </c>
      <c r="B48" s="41" t="s">
        <v>33</v>
      </c>
      <c r="C48" s="37"/>
      <c r="D48" s="42"/>
      <c r="E48" s="46"/>
      <c r="F48" s="38"/>
      <c r="G48" s="38">
        <v>2019</v>
      </c>
      <c r="H48" s="39">
        <v>151.66999999999999</v>
      </c>
    </row>
    <row r="49" spans="1:8" x14ac:dyDescent="0.25">
      <c r="A49" s="40">
        <v>3023</v>
      </c>
      <c r="B49" s="41" t="s">
        <v>54</v>
      </c>
      <c r="C49" s="37"/>
      <c r="D49" s="42"/>
      <c r="E49" s="46"/>
      <c r="F49" s="38"/>
      <c r="G49" s="38">
        <v>2019</v>
      </c>
      <c r="H49" s="39">
        <v>151.66999999999999</v>
      </c>
    </row>
    <row r="50" spans="1:8" x14ac:dyDescent="0.25">
      <c r="A50" s="40">
        <v>3040</v>
      </c>
      <c r="B50" s="41" t="s">
        <v>27</v>
      </c>
      <c r="C50" s="37"/>
      <c r="D50" s="42"/>
      <c r="E50" s="46"/>
      <c r="F50" s="38"/>
      <c r="G50" s="38">
        <v>2019</v>
      </c>
      <c r="H50" s="39">
        <v>151.66999999999999</v>
      </c>
    </row>
    <row r="51" spans="1:8" x14ac:dyDescent="0.25">
      <c r="A51" s="40">
        <v>3010</v>
      </c>
      <c r="B51" s="41" t="s">
        <v>35</v>
      </c>
      <c r="C51" s="37"/>
      <c r="D51" s="42"/>
      <c r="E51" s="46"/>
      <c r="F51" s="38"/>
      <c r="G51" s="38">
        <v>2020</v>
      </c>
      <c r="H51" s="39">
        <v>151.66999999999999</v>
      </c>
    </row>
    <row r="52" spans="1:8" x14ac:dyDescent="0.25">
      <c r="A52" s="40">
        <v>3013</v>
      </c>
      <c r="B52" s="41" t="s">
        <v>45</v>
      </c>
      <c r="C52" s="37"/>
      <c r="D52" s="42"/>
      <c r="E52" s="46"/>
      <c r="F52" s="38"/>
      <c r="G52" s="38">
        <v>2020</v>
      </c>
      <c r="H52" s="39">
        <v>120</v>
      </c>
    </row>
    <row r="53" spans="1:8" x14ac:dyDescent="0.25">
      <c r="A53" s="40">
        <v>3015</v>
      </c>
      <c r="B53" s="41" t="s">
        <v>49</v>
      </c>
      <c r="C53" s="37"/>
      <c r="D53" s="42"/>
      <c r="E53" s="46"/>
      <c r="F53" s="38"/>
      <c r="G53" s="38">
        <v>2020</v>
      </c>
      <c r="H53" s="39">
        <v>16</v>
      </c>
    </row>
    <row r="54" spans="1:8" x14ac:dyDescent="0.25">
      <c r="A54" s="40">
        <v>3016</v>
      </c>
      <c r="B54" s="41" t="s">
        <v>50</v>
      </c>
      <c r="C54" s="37"/>
      <c r="D54" s="42"/>
      <c r="E54" s="46"/>
      <c r="F54" s="38"/>
      <c r="G54" s="38">
        <v>2020</v>
      </c>
      <c r="H54" s="39">
        <v>16</v>
      </c>
    </row>
    <row r="55" spans="1:8" x14ac:dyDescent="0.25">
      <c r="A55" s="40">
        <v>3026</v>
      </c>
      <c r="B55" s="41" t="s">
        <v>40</v>
      </c>
      <c r="C55" s="37"/>
      <c r="D55" s="42"/>
      <c r="E55" s="46"/>
      <c r="F55" s="38"/>
      <c r="G55" s="38">
        <v>2020</v>
      </c>
      <c r="H55" s="39">
        <v>120</v>
      </c>
    </row>
    <row r="56" spans="1:8" x14ac:dyDescent="0.25">
      <c r="A56" s="40">
        <v>3027</v>
      </c>
      <c r="B56" s="41" t="s">
        <v>53</v>
      </c>
      <c r="C56" s="37"/>
      <c r="D56" s="42"/>
      <c r="E56" s="46"/>
      <c r="F56" s="38"/>
      <c r="G56" s="38">
        <v>2020</v>
      </c>
      <c r="H56" s="39">
        <v>64</v>
      </c>
    </row>
    <row r="57" spans="1:8" x14ac:dyDescent="0.25">
      <c r="A57" s="40">
        <v>3028</v>
      </c>
      <c r="B57" s="41" t="s">
        <v>39</v>
      </c>
      <c r="C57" s="37"/>
      <c r="D57" s="42"/>
      <c r="E57" s="46"/>
      <c r="F57" s="38"/>
      <c r="G57" s="38">
        <v>2020</v>
      </c>
      <c r="H57" s="39">
        <v>66</v>
      </c>
    </row>
    <row r="58" spans="1:8" x14ac:dyDescent="0.25">
      <c r="A58" s="40">
        <v>2007</v>
      </c>
      <c r="B58" s="41" t="s">
        <v>245</v>
      </c>
      <c r="C58" s="37"/>
      <c r="D58" s="42"/>
      <c r="E58" s="46"/>
      <c r="F58" s="38"/>
      <c r="G58" s="38">
        <v>2020</v>
      </c>
      <c r="H58" s="39">
        <v>2.5</v>
      </c>
    </row>
    <row r="59" spans="1:8" x14ac:dyDescent="0.25">
      <c r="A59" s="40">
        <v>3001</v>
      </c>
      <c r="B59" s="41" t="s">
        <v>23</v>
      </c>
      <c r="C59" s="37"/>
      <c r="D59" s="42"/>
      <c r="E59" s="46"/>
      <c r="F59" s="38"/>
      <c r="G59" s="38">
        <v>2021</v>
      </c>
      <c r="H59" s="39">
        <v>151.66999999999999</v>
      </c>
    </row>
    <row r="60" spans="1:8" x14ac:dyDescent="0.25">
      <c r="A60" s="40">
        <v>3002</v>
      </c>
      <c r="B60" s="41" t="s">
        <v>24</v>
      </c>
      <c r="C60" s="37"/>
      <c r="D60" s="42"/>
      <c r="E60" s="46"/>
      <c r="F60" s="38"/>
      <c r="G60" s="38">
        <v>2021</v>
      </c>
      <c r="H60" s="39">
        <v>151.66999999999999</v>
      </c>
    </row>
    <row r="61" spans="1:8" x14ac:dyDescent="0.25">
      <c r="A61" s="40">
        <v>3005</v>
      </c>
      <c r="B61" s="41" t="s">
        <v>31</v>
      </c>
      <c r="C61" s="37"/>
      <c r="D61" s="42"/>
      <c r="E61" s="46"/>
      <c r="F61" s="38"/>
      <c r="G61" s="38">
        <v>2021</v>
      </c>
      <c r="H61" s="39">
        <v>151.66999999999999</v>
      </c>
    </row>
    <row r="62" spans="1:8" x14ac:dyDescent="0.25">
      <c r="A62" s="40">
        <v>3015</v>
      </c>
      <c r="B62" s="41" t="s">
        <v>49</v>
      </c>
      <c r="C62" s="37"/>
      <c r="D62" s="42"/>
      <c r="E62" s="46"/>
      <c r="F62" s="38"/>
      <c r="G62" s="38">
        <v>2021</v>
      </c>
      <c r="H62" s="39">
        <v>151.66999999999999</v>
      </c>
    </row>
    <row r="63" spans="1:8" x14ac:dyDescent="0.25">
      <c r="A63" s="40">
        <v>3016</v>
      </c>
      <c r="B63" s="41" t="s">
        <v>50</v>
      </c>
      <c r="C63" s="37"/>
      <c r="D63" s="42"/>
      <c r="E63" s="46"/>
      <c r="F63" s="38"/>
      <c r="G63" s="38">
        <v>2021</v>
      </c>
      <c r="H63" s="39">
        <v>151.66999999999999</v>
      </c>
    </row>
    <row r="64" spans="1:8" x14ac:dyDescent="0.25">
      <c r="A64" s="40">
        <v>1003</v>
      </c>
      <c r="B64" s="41" t="s">
        <v>205</v>
      </c>
      <c r="C64" s="37"/>
      <c r="D64" s="42"/>
      <c r="E64" s="46"/>
      <c r="F64" s="38"/>
      <c r="G64" s="38">
        <v>2023</v>
      </c>
      <c r="H64" s="39">
        <v>4</v>
      </c>
    </row>
    <row r="65" spans="1:8" x14ac:dyDescent="0.25">
      <c r="A65" s="40">
        <v>1004</v>
      </c>
      <c r="B65" s="41" t="s">
        <v>206</v>
      </c>
      <c r="C65" s="37"/>
      <c r="D65" s="42"/>
      <c r="E65" s="46"/>
      <c r="F65" s="38"/>
      <c r="G65" s="38">
        <v>2023</v>
      </c>
      <c r="H65" s="39">
        <v>7</v>
      </c>
    </row>
    <row r="66" spans="1:8" x14ac:dyDescent="0.25">
      <c r="A66" s="40">
        <v>1006</v>
      </c>
      <c r="B66" s="41" t="s">
        <v>150</v>
      </c>
      <c r="C66" s="37"/>
      <c r="D66" s="42"/>
      <c r="E66" s="46"/>
      <c r="F66" s="38"/>
      <c r="G66" s="38">
        <v>2023</v>
      </c>
      <c r="H66" s="39">
        <v>14</v>
      </c>
    </row>
    <row r="67" spans="1:8" x14ac:dyDescent="0.25">
      <c r="A67" s="40">
        <v>1024</v>
      </c>
      <c r="B67" s="41" t="s">
        <v>203</v>
      </c>
      <c r="C67" s="37"/>
      <c r="D67" s="42"/>
      <c r="E67" s="46"/>
      <c r="F67" s="38"/>
      <c r="G67" s="38">
        <v>2023</v>
      </c>
      <c r="H67" s="39">
        <v>0.5</v>
      </c>
    </row>
    <row r="68" spans="1:8" x14ac:dyDescent="0.25">
      <c r="A68" s="40">
        <v>1033</v>
      </c>
      <c r="B68" s="41" t="s">
        <v>248</v>
      </c>
      <c r="C68" s="37"/>
      <c r="D68" s="42"/>
      <c r="E68" s="46"/>
      <c r="F68" s="38"/>
      <c r="G68" s="38">
        <v>2024</v>
      </c>
      <c r="H68" s="39">
        <v>1.5</v>
      </c>
    </row>
    <row r="69" spans="1:8" x14ac:dyDescent="0.25">
      <c r="A69" s="40">
        <v>2031</v>
      </c>
      <c r="B69" s="41" t="s">
        <v>180</v>
      </c>
      <c r="C69" s="37"/>
      <c r="D69" s="42"/>
      <c r="E69" s="46"/>
      <c r="F69" s="38"/>
      <c r="G69" s="38">
        <v>2024</v>
      </c>
      <c r="H69" s="39">
        <v>2</v>
      </c>
    </row>
    <row r="70" spans="1:8" x14ac:dyDescent="0.25">
      <c r="A70" s="40">
        <v>1032</v>
      </c>
      <c r="B70" s="41" t="s">
        <v>210</v>
      </c>
      <c r="C70" s="37"/>
      <c r="D70" s="42"/>
      <c r="E70" s="46"/>
      <c r="F70" s="38"/>
      <c r="G70" s="38">
        <v>2024</v>
      </c>
      <c r="H70" s="39">
        <v>2</v>
      </c>
    </row>
    <row r="71" spans="1:8" x14ac:dyDescent="0.25">
      <c r="A71" s="40">
        <v>2051</v>
      </c>
      <c r="B71" s="41" t="s">
        <v>279</v>
      </c>
      <c r="C71" s="37"/>
      <c r="D71" s="42"/>
      <c r="E71" s="46"/>
      <c r="F71" s="38"/>
      <c r="G71" s="38">
        <v>2025</v>
      </c>
      <c r="H71" s="39">
        <v>28</v>
      </c>
    </row>
    <row r="72" spans="1:8" x14ac:dyDescent="0.25">
      <c r="A72" s="40">
        <v>3048</v>
      </c>
      <c r="B72" s="41" t="s">
        <v>277</v>
      </c>
      <c r="C72" s="37"/>
      <c r="D72" s="42"/>
      <c r="E72" s="46"/>
      <c r="F72" s="38"/>
      <c r="G72" s="38">
        <v>2025</v>
      </c>
      <c r="H72" s="39">
        <v>35</v>
      </c>
    </row>
    <row r="73" spans="1:8" x14ac:dyDescent="0.25">
      <c r="A73" s="40"/>
      <c r="B73" s="41"/>
      <c r="C73" s="37"/>
      <c r="D73" s="42"/>
      <c r="E73" s="46"/>
      <c r="F73" s="38"/>
      <c r="G73" s="38"/>
      <c r="H73" s="39"/>
    </row>
    <row r="74" spans="1:8" x14ac:dyDescent="0.25">
      <c r="A74" s="40"/>
      <c r="B74" s="41"/>
      <c r="C74" s="37"/>
      <c r="D74" s="42"/>
      <c r="E74" s="46"/>
      <c r="F74" s="38"/>
      <c r="G74" s="38"/>
      <c r="H74" s="39"/>
    </row>
    <row r="75" spans="1:8" x14ac:dyDescent="0.25">
      <c r="A75" s="40"/>
      <c r="B75" s="41"/>
      <c r="C75" s="37"/>
      <c r="D75" s="42"/>
      <c r="E75" s="46"/>
      <c r="F75" s="38"/>
      <c r="G75" s="38"/>
      <c r="H75" s="39"/>
    </row>
    <row r="76" spans="1:8" x14ac:dyDescent="0.25">
      <c r="A76" s="40"/>
      <c r="B76" s="41"/>
      <c r="C76" s="37"/>
      <c r="D76" s="42"/>
      <c r="E76" s="46"/>
      <c r="F76" s="38"/>
      <c r="G76" s="38"/>
      <c r="H76" s="39"/>
    </row>
    <row r="77" spans="1:8" x14ac:dyDescent="0.25">
      <c r="A77" s="40"/>
      <c r="B77" s="41"/>
      <c r="C77" s="37"/>
      <c r="D77" s="42"/>
      <c r="E77" s="46"/>
      <c r="F77" s="38"/>
      <c r="G77" s="38"/>
      <c r="H77" s="39"/>
    </row>
    <row r="78" spans="1:8" x14ac:dyDescent="0.25">
      <c r="A78" s="40"/>
      <c r="B78" s="41"/>
      <c r="C78" s="37"/>
      <c r="D78" s="42"/>
      <c r="E78" s="46"/>
      <c r="F78" s="38"/>
      <c r="G78" s="38"/>
      <c r="H78" s="39"/>
    </row>
    <row r="79" spans="1:8" x14ac:dyDescent="0.25">
      <c r="A79" s="40"/>
      <c r="B79" s="41"/>
      <c r="C79" s="37"/>
      <c r="D79" s="42"/>
      <c r="E79" s="46"/>
      <c r="F79" s="38"/>
      <c r="G79" s="38"/>
      <c r="H79" s="39"/>
    </row>
    <row r="80" spans="1:8" x14ac:dyDescent="0.25">
      <c r="A80" s="40"/>
      <c r="B80" s="41"/>
      <c r="C80" s="37"/>
      <c r="D80" s="42"/>
      <c r="E80" s="46"/>
      <c r="F80" s="38"/>
      <c r="G80" s="38"/>
      <c r="H80" s="39"/>
    </row>
    <row r="81" spans="1:8" x14ac:dyDescent="0.25">
      <c r="A81" s="40"/>
      <c r="B81" s="41"/>
      <c r="C81" s="37"/>
      <c r="D81" s="42"/>
      <c r="E81" s="46"/>
      <c r="F81" s="38"/>
      <c r="G81" s="38"/>
      <c r="H81" s="39"/>
    </row>
    <row r="82" spans="1:8" x14ac:dyDescent="0.25">
      <c r="A82" s="40"/>
      <c r="B82" s="41"/>
      <c r="C82" s="37"/>
      <c r="D82" s="42"/>
      <c r="E82" s="46"/>
      <c r="F82" s="38"/>
      <c r="G82" s="38"/>
      <c r="H82" s="39"/>
    </row>
    <row r="83" spans="1:8" x14ac:dyDescent="0.25">
      <c r="A83" s="40"/>
      <c r="B83" s="41"/>
      <c r="C83" s="37"/>
      <c r="D83" s="42"/>
      <c r="E83" s="46"/>
      <c r="F83" s="38"/>
      <c r="G83" s="38"/>
      <c r="H83" s="39"/>
    </row>
    <row r="84" spans="1:8" x14ac:dyDescent="0.25">
      <c r="A84" s="40"/>
      <c r="B84" s="41"/>
      <c r="C84" s="37"/>
      <c r="D84" s="42"/>
      <c r="E84" s="46"/>
      <c r="F84" s="38"/>
      <c r="G84" s="38"/>
      <c r="H84" s="39"/>
    </row>
    <row r="85" spans="1:8" x14ac:dyDescent="0.25">
      <c r="A85" s="40"/>
      <c r="B85" s="41"/>
      <c r="C85" s="37"/>
      <c r="D85" s="42"/>
      <c r="E85" s="46"/>
      <c r="F85" s="38"/>
      <c r="G85" s="38"/>
      <c r="H85" s="39"/>
    </row>
    <row r="86" spans="1:8" x14ac:dyDescent="0.25">
      <c r="A86" s="40"/>
      <c r="B86" s="41"/>
      <c r="C86" s="37"/>
      <c r="D86" s="42"/>
      <c r="E86" s="46"/>
      <c r="F86" s="38"/>
      <c r="G86" s="38"/>
      <c r="H86" s="39"/>
    </row>
    <row r="87" spans="1:8" x14ac:dyDescent="0.25">
      <c r="A87" s="40"/>
      <c r="B87" s="41"/>
      <c r="C87" s="37"/>
      <c r="D87" s="42"/>
      <c r="E87" s="46"/>
      <c r="F87" s="38"/>
      <c r="G87" s="38"/>
      <c r="H87" s="39"/>
    </row>
    <row r="88" spans="1:8" x14ac:dyDescent="0.25">
      <c r="A88" s="40"/>
      <c r="B88" s="41"/>
      <c r="C88" s="37"/>
      <c r="D88" s="42"/>
      <c r="E88" s="46"/>
      <c r="F88" s="38"/>
      <c r="G88" s="38"/>
      <c r="H88" s="39"/>
    </row>
    <row r="89" spans="1:8" x14ac:dyDescent="0.25">
      <c r="A89" s="40"/>
      <c r="B89" s="41"/>
      <c r="C89" s="37"/>
      <c r="D89" s="42"/>
      <c r="E89" s="46"/>
      <c r="F89" s="38"/>
      <c r="G89" s="38"/>
      <c r="H89" s="39"/>
    </row>
    <row r="90" spans="1:8" x14ac:dyDescent="0.25">
      <c r="A90" s="40"/>
      <c r="B90" s="41"/>
      <c r="C90" s="37"/>
      <c r="D90" s="42"/>
      <c r="E90" s="46"/>
      <c r="F90" s="38"/>
      <c r="G90" s="38"/>
      <c r="H90" s="39"/>
    </row>
    <row r="91" spans="1:8" x14ac:dyDescent="0.25">
      <c r="A91" s="40"/>
      <c r="B91" s="41"/>
      <c r="C91" s="37"/>
      <c r="D91" s="42"/>
      <c r="E91" s="46"/>
      <c r="F91" s="38"/>
      <c r="G91" s="38"/>
      <c r="H91" s="39"/>
    </row>
    <row r="92" spans="1:8" x14ac:dyDescent="0.25">
      <c r="A92" s="40"/>
      <c r="B92" s="41"/>
      <c r="C92" s="37"/>
      <c r="D92" s="42"/>
      <c r="E92" s="46"/>
      <c r="F92" s="38"/>
      <c r="G92" s="38"/>
      <c r="H92" s="39"/>
    </row>
    <row r="93" spans="1:8" x14ac:dyDescent="0.25">
      <c r="A93" s="40"/>
      <c r="B93" s="41"/>
      <c r="C93" s="37"/>
      <c r="D93" s="42"/>
      <c r="E93" s="46"/>
      <c r="F93" s="38"/>
      <c r="G93" s="38"/>
      <c r="H93" s="39"/>
    </row>
    <row r="94" spans="1:8" x14ac:dyDescent="0.25">
      <c r="A94" s="40"/>
      <c r="B94" s="41"/>
      <c r="C94" s="37"/>
      <c r="D94" s="42"/>
      <c r="E94" s="46"/>
      <c r="F94" s="38"/>
      <c r="G94" s="38"/>
      <c r="H94" s="39"/>
    </row>
    <row r="95" spans="1:8" x14ac:dyDescent="0.25">
      <c r="A95" s="40"/>
      <c r="B95" s="41"/>
      <c r="C95" s="37"/>
      <c r="D95" s="42"/>
      <c r="E95" s="46"/>
      <c r="F95" s="38"/>
      <c r="G95" s="38"/>
      <c r="H95" s="39"/>
    </row>
    <row r="96" spans="1:8" x14ac:dyDescent="0.25">
      <c r="A96" s="40"/>
      <c r="B96" s="41"/>
      <c r="C96" s="37"/>
      <c r="D96" s="42"/>
      <c r="E96" s="46"/>
      <c r="F96" s="38"/>
      <c r="G96" s="38"/>
      <c r="H96" s="39"/>
    </row>
    <row r="97" spans="1:8" x14ac:dyDescent="0.25">
      <c r="A97" s="40"/>
      <c r="B97" s="41"/>
      <c r="C97" s="37"/>
      <c r="D97" s="42"/>
      <c r="E97" s="46"/>
      <c r="F97" s="38"/>
      <c r="G97" s="38"/>
      <c r="H97" s="39"/>
    </row>
    <row r="98" spans="1:8" x14ac:dyDescent="0.25">
      <c r="A98" s="40"/>
      <c r="B98" s="41"/>
      <c r="C98" s="37"/>
      <c r="D98" s="42"/>
      <c r="E98" s="46"/>
      <c r="F98" s="38"/>
      <c r="G98" s="38"/>
      <c r="H98" s="39"/>
    </row>
    <row r="99" spans="1:8" x14ac:dyDescent="0.25">
      <c r="A99" s="40"/>
      <c r="B99" s="41"/>
      <c r="C99" s="37"/>
      <c r="D99" s="42"/>
      <c r="E99" s="46"/>
      <c r="F99" s="38"/>
      <c r="G99" s="38"/>
      <c r="H99" s="39"/>
    </row>
    <row r="100" spans="1:8" x14ac:dyDescent="0.25">
      <c r="A100" s="40"/>
      <c r="B100" s="41"/>
      <c r="C100" s="37"/>
      <c r="D100" s="42"/>
      <c r="E100" s="46"/>
      <c r="F100" s="38"/>
      <c r="G100" s="38"/>
      <c r="H100" s="39"/>
    </row>
    <row r="101" spans="1:8" x14ac:dyDescent="0.25">
      <c r="A101" s="40"/>
      <c r="B101" s="41"/>
      <c r="C101" s="37"/>
      <c r="D101" s="42"/>
      <c r="E101" s="46"/>
      <c r="F101" s="38"/>
      <c r="G101" s="38"/>
      <c r="H101" s="39"/>
    </row>
    <row r="102" spans="1:8" x14ac:dyDescent="0.25">
      <c r="A102" s="40"/>
      <c r="B102" s="41"/>
      <c r="C102" s="37"/>
      <c r="D102" s="42"/>
      <c r="E102" s="46"/>
      <c r="F102" s="38"/>
      <c r="G102" s="38"/>
      <c r="H102" s="39"/>
    </row>
    <row r="103" spans="1:8" x14ac:dyDescent="0.25">
      <c r="A103" s="40"/>
      <c r="B103" s="41"/>
      <c r="C103" s="37"/>
      <c r="D103" s="42"/>
      <c r="E103" s="46"/>
      <c r="F103" s="38"/>
      <c r="G103" s="38"/>
      <c r="H103" s="39"/>
    </row>
    <row r="104" spans="1:8" x14ac:dyDescent="0.25">
      <c r="A104" s="40"/>
      <c r="B104" s="41"/>
      <c r="C104" s="37"/>
      <c r="D104" s="42"/>
      <c r="E104" s="46"/>
      <c r="F104" s="38"/>
      <c r="G104" s="38"/>
      <c r="H104" s="39"/>
    </row>
    <row r="105" spans="1:8" x14ac:dyDescent="0.25">
      <c r="A105" s="40"/>
      <c r="B105" s="41"/>
      <c r="C105" s="37"/>
      <c r="D105" s="42"/>
      <c r="E105" s="46"/>
      <c r="F105" s="38"/>
      <c r="G105" s="38"/>
      <c r="H105" s="39"/>
    </row>
    <row r="106" spans="1:8" x14ac:dyDescent="0.25">
      <c r="A106" s="40"/>
      <c r="B106" s="41"/>
      <c r="C106" s="37"/>
      <c r="D106" s="42"/>
      <c r="E106" s="46"/>
      <c r="F106" s="38"/>
      <c r="G106" s="38"/>
      <c r="H106" s="39"/>
    </row>
    <row r="107" spans="1:8" x14ac:dyDescent="0.25">
      <c r="A107" s="40"/>
      <c r="B107" s="41"/>
      <c r="C107" s="37"/>
      <c r="D107" s="42"/>
      <c r="E107" s="46"/>
      <c r="F107" s="38"/>
      <c r="G107" s="38"/>
      <c r="H107" s="39"/>
    </row>
    <row r="108" spans="1:8" x14ac:dyDescent="0.25">
      <c r="A108" s="40"/>
      <c r="B108" s="41"/>
      <c r="C108" s="37"/>
      <c r="D108" s="42"/>
      <c r="E108" s="46"/>
      <c r="F108" s="38"/>
      <c r="G108" s="38"/>
      <c r="H108" s="39"/>
    </row>
    <row r="109" spans="1:8" x14ac:dyDescent="0.25">
      <c r="A109" s="40"/>
      <c r="B109" s="41"/>
      <c r="C109" s="37"/>
      <c r="D109" s="42"/>
      <c r="E109" s="46"/>
      <c r="F109" s="38"/>
      <c r="G109" s="38"/>
      <c r="H109" s="39"/>
    </row>
    <row r="110" spans="1:8" x14ac:dyDescent="0.25">
      <c r="A110" s="40"/>
      <c r="B110" s="41"/>
      <c r="C110" s="37"/>
      <c r="D110" s="42"/>
      <c r="E110" s="46"/>
      <c r="F110" s="38"/>
      <c r="G110" s="38"/>
      <c r="H110" s="39"/>
    </row>
    <row r="111" spans="1:8" x14ac:dyDescent="0.25">
      <c r="A111" s="40"/>
      <c r="B111" s="41"/>
      <c r="C111" s="37"/>
      <c r="D111" s="42"/>
      <c r="E111" s="46"/>
      <c r="F111" s="38"/>
      <c r="G111" s="38"/>
      <c r="H111" s="39"/>
    </row>
    <row r="112" spans="1:8" x14ac:dyDescent="0.25">
      <c r="A112" s="40"/>
      <c r="B112" s="41"/>
      <c r="C112" s="37"/>
      <c r="D112" s="42"/>
      <c r="E112" s="46"/>
      <c r="F112" s="38"/>
      <c r="G112" s="38"/>
      <c r="H112" s="39"/>
    </row>
    <row r="113" spans="1:8" x14ac:dyDescent="0.25">
      <c r="A113" s="40"/>
      <c r="B113" s="41"/>
      <c r="C113" s="37"/>
      <c r="D113" s="42"/>
      <c r="E113" s="46"/>
      <c r="F113" s="38"/>
      <c r="G113" s="38"/>
      <c r="H113" s="39"/>
    </row>
    <row r="114" spans="1:8" x14ac:dyDescent="0.25">
      <c r="A114" s="40"/>
      <c r="B114" s="41"/>
      <c r="C114" s="37"/>
      <c r="D114" s="42"/>
      <c r="E114" s="46"/>
      <c r="F114" s="38"/>
      <c r="G114" s="38"/>
      <c r="H114" s="39"/>
    </row>
    <row r="115" spans="1:8" x14ac:dyDescent="0.25">
      <c r="A115" s="40"/>
      <c r="B115" s="41"/>
      <c r="C115" s="37"/>
      <c r="D115" s="42"/>
      <c r="E115" s="46"/>
      <c r="F115" s="38"/>
      <c r="G115" s="38"/>
      <c r="H115" s="39"/>
    </row>
    <row r="116" spans="1:8" x14ac:dyDescent="0.25">
      <c r="A116" s="40"/>
      <c r="B116" s="41"/>
      <c r="C116" s="37"/>
      <c r="D116" s="42"/>
      <c r="E116" s="46"/>
      <c r="F116" s="38"/>
      <c r="G116" s="38"/>
      <c r="H116" s="39"/>
    </row>
    <row r="117" spans="1:8" x14ac:dyDescent="0.25">
      <c r="A117" s="40"/>
      <c r="B117" s="41"/>
      <c r="C117" s="37"/>
      <c r="D117" s="42"/>
      <c r="E117" s="46"/>
      <c r="F117" s="38"/>
      <c r="G117" s="38"/>
      <c r="H117" s="39"/>
    </row>
    <row r="118" spans="1:8" x14ac:dyDescent="0.25">
      <c r="A118" s="40"/>
      <c r="B118" s="41"/>
      <c r="C118" s="37"/>
      <c r="D118" s="42"/>
      <c r="E118" s="46"/>
      <c r="F118" s="38"/>
      <c r="G118" s="38"/>
      <c r="H118" s="39"/>
    </row>
    <row r="119" spans="1:8" x14ac:dyDescent="0.25">
      <c r="A119" s="40"/>
      <c r="B119" s="41"/>
      <c r="C119" s="37"/>
      <c r="D119" s="42"/>
      <c r="E119" s="46"/>
      <c r="F119" s="38"/>
      <c r="G119" s="38"/>
      <c r="H119" s="39"/>
    </row>
    <row r="120" spans="1:8" x14ac:dyDescent="0.25">
      <c r="A120" s="40"/>
      <c r="B120" s="41"/>
      <c r="C120" s="37"/>
      <c r="D120" s="42"/>
      <c r="E120" s="46"/>
      <c r="F120" s="38"/>
      <c r="G120" s="38"/>
      <c r="H120" s="39"/>
    </row>
    <row r="121" spans="1:8" x14ac:dyDescent="0.25">
      <c r="A121" s="40"/>
      <c r="B121" s="41"/>
      <c r="C121" s="37"/>
      <c r="D121" s="42"/>
      <c r="E121" s="46"/>
      <c r="F121" s="38"/>
      <c r="G121" s="38"/>
      <c r="H121" s="39"/>
    </row>
    <row r="122" spans="1:8" x14ac:dyDescent="0.25">
      <c r="A122" s="40"/>
      <c r="B122" s="41"/>
      <c r="C122" s="37"/>
      <c r="D122" s="42"/>
      <c r="E122" s="46"/>
      <c r="F122" s="38"/>
      <c r="G122" s="38"/>
      <c r="H122" s="39"/>
    </row>
    <row r="123" spans="1:8" x14ac:dyDescent="0.25">
      <c r="A123" s="40"/>
      <c r="B123" s="41"/>
      <c r="C123" s="37"/>
      <c r="D123" s="42"/>
      <c r="E123" s="46"/>
      <c r="F123" s="38"/>
      <c r="G123" s="38"/>
      <c r="H123" s="43"/>
    </row>
    <row r="124" spans="1:8" ht="15.75" thickBot="1" x14ac:dyDescent="0.3">
      <c r="A124" s="30"/>
      <c r="B124" s="27"/>
      <c r="C124" s="28"/>
      <c r="D124" s="31"/>
      <c r="E124" s="47"/>
      <c r="F124" s="57"/>
      <c r="G124" s="57"/>
      <c r="H124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8"/>
  <sheetViews>
    <sheetView workbookViewId="0">
      <selection activeCell="B65" sqref="B65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8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8" ht="18.75" x14ac:dyDescent="0.3">
      <c r="A2" s="19"/>
      <c r="B2" s="24"/>
      <c r="D2" s="19"/>
      <c r="E2" s="19"/>
      <c r="F2" s="55"/>
    </row>
    <row r="3" spans="1:8" ht="18.75" x14ac:dyDescent="0.3">
      <c r="A3" s="20" t="s">
        <v>251</v>
      </c>
      <c r="C3" s="25">
        <v>379</v>
      </c>
      <c r="D3" s="19"/>
      <c r="E3" s="19"/>
      <c r="F3" s="55"/>
    </row>
    <row r="4" spans="1:8" ht="18.75" x14ac:dyDescent="0.3">
      <c r="A4" s="19"/>
      <c r="B4" s="24"/>
      <c r="D4" s="19"/>
      <c r="E4" s="19"/>
      <c r="F4" s="55"/>
    </row>
    <row r="5" spans="1:8" ht="18.75" x14ac:dyDescent="0.3">
      <c r="A5" s="20" t="s">
        <v>256</v>
      </c>
      <c r="C5" s="26" t="str">
        <f>VLOOKUP(C3,'Liste salariés'!A3:G104,2,FALSE)</f>
        <v>DELGADO Cédric</v>
      </c>
      <c r="D5" s="19"/>
      <c r="E5" s="19"/>
      <c r="F5" s="55"/>
    </row>
    <row r="6" spans="1:8" ht="39.75" customHeight="1" x14ac:dyDescent="0.3">
      <c r="A6" s="20" t="s">
        <v>252</v>
      </c>
      <c r="C6" s="23">
        <f>VLOOKUP(C3,'Liste salariés'!A3:J103,6,FALSE)</f>
        <v>29936</v>
      </c>
      <c r="D6" s="20" t="s">
        <v>253</v>
      </c>
      <c r="E6" s="49">
        <f ca="1">(B1-C6)/365</f>
        <v>44.263013698630139</v>
      </c>
      <c r="F6" s="48"/>
    </row>
    <row r="7" spans="1:8" ht="26.25" customHeight="1" x14ac:dyDescent="0.3">
      <c r="A7" s="20" t="s">
        <v>254</v>
      </c>
      <c r="C7" s="23">
        <f>VLOOKUP(C3,'Liste salariés'!A3:J105,3,FALSE)</f>
        <v>43536</v>
      </c>
      <c r="D7" s="20" t="s">
        <v>255</v>
      </c>
      <c r="E7" s="49">
        <f ca="1">(B1-C7)/365</f>
        <v>7.0027397260273974</v>
      </c>
      <c r="F7" s="48"/>
    </row>
    <row r="8" spans="1:8" x14ac:dyDescent="0.25">
      <c r="B8"/>
    </row>
    <row r="9" spans="1:8" x14ac:dyDescent="0.25">
      <c r="B9"/>
    </row>
    <row r="10" spans="1:8" ht="18.75" x14ac:dyDescent="0.3">
      <c r="A10" s="20" t="s">
        <v>257</v>
      </c>
      <c r="B10"/>
    </row>
    <row r="11" spans="1:8" ht="15.75" thickBot="1" x14ac:dyDescent="0.3"/>
    <row r="12" spans="1:8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8" ht="20.100000000000001" customHeight="1" x14ac:dyDescent="0.25">
      <c r="A13" s="32">
        <v>1004</v>
      </c>
      <c r="B13" s="60" t="s">
        <v>206</v>
      </c>
      <c r="C13" s="33"/>
      <c r="D13" s="44"/>
      <c r="E13" s="45"/>
      <c r="F13" s="34"/>
      <c r="G13" s="34">
        <v>2019</v>
      </c>
      <c r="H13" s="35">
        <v>7</v>
      </c>
    </row>
    <row r="14" spans="1:8" ht="20.100000000000001" customHeight="1" x14ac:dyDescent="0.25">
      <c r="A14" s="36">
        <v>3005</v>
      </c>
      <c r="B14" s="59" t="s">
        <v>31</v>
      </c>
      <c r="C14" s="37"/>
      <c r="D14" s="42"/>
      <c r="E14" s="46"/>
      <c r="F14" s="38"/>
      <c r="G14" s="38">
        <v>2019</v>
      </c>
      <c r="H14" s="39">
        <v>151.66999999999999</v>
      </c>
    </row>
    <row r="15" spans="1:8" ht="20.100000000000001" customHeight="1" x14ac:dyDescent="0.25">
      <c r="A15" s="36">
        <v>3006</v>
      </c>
      <c r="B15" s="59" t="s">
        <v>25</v>
      </c>
      <c r="C15" s="37"/>
      <c r="D15" s="42"/>
      <c r="E15" s="46"/>
      <c r="F15" s="38"/>
      <c r="G15" s="38">
        <v>2019</v>
      </c>
      <c r="H15" s="39">
        <v>151.66999999999999</v>
      </c>
    </row>
    <row r="16" spans="1:8" ht="20.100000000000001" customHeight="1" x14ac:dyDescent="0.25">
      <c r="A16" s="36">
        <v>3002</v>
      </c>
      <c r="B16" s="59" t="s">
        <v>24</v>
      </c>
      <c r="C16" s="37"/>
      <c r="D16" s="42"/>
      <c r="E16" s="46"/>
      <c r="F16" s="38"/>
      <c r="G16" s="38">
        <v>2020</v>
      </c>
      <c r="H16" s="39">
        <v>151.66999999999999</v>
      </c>
    </row>
    <row r="17" spans="1:8" ht="20.100000000000001" customHeight="1" x14ac:dyDescent="0.25">
      <c r="A17" s="36">
        <v>3007</v>
      </c>
      <c r="B17" s="59" t="s">
        <v>26</v>
      </c>
      <c r="C17" s="37"/>
      <c r="D17" s="42"/>
      <c r="E17" s="46"/>
      <c r="F17" s="38"/>
      <c r="G17" s="38">
        <v>2020</v>
      </c>
      <c r="H17" s="39">
        <v>151.66999999999999</v>
      </c>
    </row>
    <row r="18" spans="1:8" ht="20.100000000000001" customHeight="1" x14ac:dyDescent="0.25">
      <c r="A18" s="36">
        <v>3016</v>
      </c>
      <c r="B18" s="59" t="s">
        <v>50</v>
      </c>
      <c r="C18" s="37"/>
      <c r="D18" s="42"/>
      <c r="E18" s="46"/>
      <c r="F18" s="38"/>
      <c r="G18" s="38">
        <v>2020</v>
      </c>
      <c r="H18" s="39">
        <v>26</v>
      </c>
    </row>
    <row r="19" spans="1:8" ht="20.100000000000001" customHeight="1" x14ac:dyDescent="0.25">
      <c r="A19" s="36">
        <v>3028</v>
      </c>
      <c r="B19" s="59" t="s">
        <v>39</v>
      </c>
      <c r="C19" s="37"/>
      <c r="D19" s="42"/>
      <c r="E19" s="46"/>
      <c r="F19" s="38"/>
      <c r="G19" s="38">
        <v>2020</v>
      </c>
      <c r="H19" s="39">
        <v>66</v>
      </c>
    </row>
    <row r="20" spans="1:8" ht="20.100000000000001" customHeight="1" x14ac:dyDescent="0.25">
      <c r="A20" s="36">
        <v>3032</v>
      </c>
      <c r="B20" s="59" t="s">
        <v>30</v>
      </c>
      <c r="C20" s="37"/>
      <c r="D20" s="42"/>
      <c r="E20" s="46"/>
      <c r="F20" s="38"/>
      <c r="G20" s="38">
        <v>2020</v>
      </c>
      <c r="H20" s="39">
        <v>151.66999999999999</v>
      </c>
    </row>
    <row r="21" spans="1:8" ht="20.100000000000001" customHeight="1" x14ac:dyDescent="0.25">
      <c r="A21" s="36">
        <v>3005</v>
      </c>
      <c r="B21" s="59" t="s">
        <v>31</v>
      </c>
      <c r="C21" s="37"/>
      <c r="D21" s="42"/>
      <c r="E21" s="46"/>
      <c r="F21" s="38"/>
      <c r="G21" s="38">
        <v>2021</v>
      </c>
      <c r="H21" s="39">
        <v>151.66999999999999</v>
      </c>
    </row>
    <row r="22" spans="1:8" ht="20.100000000000001" customHeight="1" x14ac:dyDescent="0.25">
      <c r="A22" s="36">
        <v>3015</v>
      </c>
      <c r="B22" s="59" t="s">
        <v>49</v>
      </c>
      <c r="C22" s="37"/>
      <c r="D22" s="42"/>
      <c r="E22" s="46"/>
      <c r="F22" s="38"/>
      <c r="G22" s="38">
        <v>2021</v>
      </c>
      <c r="H22" s="39">
        <v>151.66999999999999</v>
      </c>
    </row>
    <row r="23" spans="1:8" ht="20.100000000000001" customHeight="1" x14ac:dyDescent="0.25">
      <c r="A23" s="36">
        <v>3016</v>
      </c>
      <c r="B23" s="59" t="s">
        <v>50</v>
      </c>
      <c r="C23" s="37"/>
      <c r="D23" s="42"/>
      <c r="E23" s="46"/>
      <c r="F23" s="38"/>
      <c r="G23" s="38">
        <v>2021</v>
      </c>
      <c r="H23" s="39">
        <v>151.66999999999999</v>
      </c>
    </row>
    <row r="24" spans="1:8" ht="20.100000000000001" customHeight="1" x14ac:dyDescent="0.25">
      <c r="A24" s="36">
        <v>1007</v>
      </c>
      <c r="B24" s="59" t="s">
        <v>284</v>
      </c>
      <c r="C24" s="37"/>
      <c r="D24" s="42"/>
      <c r="E24" s="46"/>
      <c r="F24" s="38"/>
      <c r="G24" s="38">
        <v>2024</v>
      </c>
      <c r="H24" s="39">
        <v>7</v>
      </c>
    </row>
    <row r="25" spans="1:8" ht="20.100000000000001" customHeight="1" x14ac:dyDescent="0.25">
      <c r="A25" s="36">
        <v>1020</v>
      </c>
      <c r="B25" s="59" t="s">
        <v>202</v>
      </c>
      <c r="C25" s="37"/>
      <c r="D25" s="42"/>
      <c r="E25" s="46"/>
      <c r="F25" s="38"/>
      <c r="G25" s="38">
        <v>2024</v>
      </c>
      <c r="H25" s="39">
        <v>3.5</v>
      </c>
    </row>
    <row r="26" spans="1:8" ht="20.100000000000001" customHeight="1" x14ac:dyDescent="0.25">
      <c r="A26" s="36">
        <v>3001</v>
      </c>
      <c r="B26" s="59" t="s">
        <v>23</v>
      </c>
      <c r="C26" s="37"/>
      <c r="D26" s="42"/>
      <c r="E26" s="46"/>
      <c r="F26" s="38"/>
      <c r="G26" s="38">
        <v>2024</v>
      </c>
      <c r="H26" s="39">
        <v>151.66999999999999</v>
      </c>
    </row>
    <row r="27" spans="1:8" ht="20.100000000000001" customHeight="1" x14ac:dyDescent="0.25">
      <c r="A27" s="36">
        <v>3037</v>
      </c>
      <c r="B27" s="59" t="s">
        <v>29</v>
      </c>
      <c r="C27" s="37"/>
      <c r="D27" s="42"/>
      <c r="E27" s="46"/>
      <c r="F27" s="38"/>
      <c r="G27" s="38">
        <v>2024</v>
      </c>
      <c r="H27" s="39">
        <v>151.66999999999999</v>
      </c>
    </row>
    <row r="28" spans="1:8" ht="20.100000000000001" customHeight="1" x14ac:dyDescent="0.25">
      <c r="A28" s="36">
        <v>3008</v>
      </c>
      <c r="B28" s="59" t="s">
        <v>33</v>
      </c>
      <c r="C28" s="37"/>
      <c r="D28" s="42"/>
      <c r="E28" s="46"/>
      <c r="F28" s="38"/>
      <c r="G28" s="38">
        <v>2025</v>
      </c>
      <c r="H28" s="39">
        <v>35</v>
      </c>
    </row>
    <row r="29" spans="1:8" ht="20.100000000000001" customHeight="1" x14ac:dyDescent="0.25">
      <c r="A29" s="36">
        <v>3048</v>
      </c>
      <c r="B29" s="59" t="s">
        <v>277</v>
      </c>
      <c r="C29" s="37"/>
      <c r="D29" s="42"/>
      <c r="E29" s="46"/>
      <c r="F29" s="38"/>
      <c r="G29" s="38">
        <v>2025</v>
      </c>
      <c r="H29" s="39">
        <v>30</v>
      </c>
    </row>
    <row r="30" spans="1:8" ht="20.100000000000001" customHeight="1" x14ac:dyDescent="0.25">
      <c r="A30" s="36"/>
      <c r="B30" s="59"/>
      <c r="C30" s="37"/>
      <c r="D30" s="42"/>
      <c r="E30" s="46"/>
      <c r="F30" s="38"/>
      <c r="G30" s="38"/>
      <c r="H30" s="39"/>
    </row>
    <row r="31" spans="1:8" ht="20.100000000000001" customHeight="1" x14ac:dyDescent="0.25">
      <c r="A31" s="36"/>
      <c r="B31" s="59"/>
      <c r="C31" s="37"/>
      <c r="D31" s="42"/>
      <c r="E31" s="46"/>
      <c r="F31" s="38"/>
      <c r="G31" s="38"/>
      <c r="H31" s="39"/>
    </row>
    <row r="32" spans="1:8" ht="20.100000000000001" customHeight="1" x14ac:dyDescent="0.25">
      <c r="A32" s="36"/>
      <c r="B32" s="59"/>
      <c r="C32" s="37"/>
      <c r="D32" s="42"/>
      <c r="E32" s="46"/>
      <c r="F32" s="38"/>
      <c r="G32" s="38"/>
      <c r="H32" s="39"/>
    </row>
    <row r="33" spans="1:8" ht="20.100000000000001" customHeight="1" x14ac:dyDescent="0.25">
      <c r="A33" s="36"/>
      <c r="B33" s="37"/>
      <c r="C33" s="37"/>
      <c r="D33" s="42"/>
      <c r="E33" s="46"/>
      <c r="F33" s="38"/>
      <c r="G33" s="38"/>
      <c r="H33" s="39"/>
    </row>
    <row r="34" spans="1:8" ht="20.100000000000001" customHeight="1" x14ac:dyDescent="0.25">
      <c r="A34" s="36"/>
      <c r="B34" s="37"/>
      <c r="C34" s="37"/>
      <c r="D34" s="42"/>
      <c r="E34" s="46"/>
      <c r="F34" s="38"/>
      <c r="G34" s="38"/>
      <c r="H34" s="39"/>
    </row>
    <row r="35" spans="1:8" ht="20.100000000000001" customHeight="1" x14ac:dyDescent="0.25">
      <c r="A35" s="36"/>
      <c r="B35" s="37"/>
      <c r="C35" s="37"/>
      <c r="D35" s="42"/>
      <c r="E35" s="46"/>
      <c r="F35" s="38"/>
      <c r="G35" s="38"/>
      <c r="H35" s="39"/>
    </row>
    <row r="36" spans="1:8" ht="20.100000000000001" customHeight="1" x14ac:dyDescent="0.25">
      <c r="A36" s="36"/>
      <c r="B36" s="37"/>
      <c r="C36" s="37"/>
      <c r="D36" s="42"/>
      <c r="E36" s="46"/>
      <c r="F36" s="38"/>
      <c r="G36" s="38"/>
      <c r="H36" s="39"/>
    </row>
    <row r="37" spans="1:8" x14ac:dyDescent="0.25">
      <c r="A37" s="40"/>
      <c r="B37" s="41"/>
      <c r="C37" s="37"/>
      <c r="D37" s="42"/>
      <c r="E37" s="46"/>
      <c r="F37" s="38"/>
      <c r="G37" s="38"/>
      <c r="H37" s="39"/>
    </row>
    <row r="38" spans="1:8" x14ac:dyDescent="0.25">
      <c r="A38" s="40"/>
      <c r="B38" s="41"/>
      <c r="C38" s="37"/>
      <c r="D38" s="42"/>
      <c r="E38" s="46"/>
      <c r="F38" s="56"/>
      <c r="G38" s="38"/>
      <c r="H38" s="39"/>
    </row>
    <row r="39" spans="1:8" x14ac:dyDescent="0.25">
      <c r="A39" s="40"/>
      <c r="B39" s="41"/>
      <c r="C39" s="37"/>
      <c r="D39" s="42"/>
      <c r="E39" s="46"/>
      <c r="F39" s="38"/>
      <c r="G39" s="38"/>
      <c r="H39" s="39"/>
    </row>
    <row r="40" spans="1:8" x14ac:dyDescent="0.25">
      <c r="A40" s="40"/>
      <c r="B40" s="41"/>
      <c r="C40" s="37"/>
      <c r="D40" s="42"/>
      <c r="E40" s="46"/>
      <c r="F40" s="38"/>
      <c r="G40" s="38"/>
      <c r="H40" s="39"/>
    </row>
    <row r="41" spans="1:8" x14ac:dyDescent="0.25">
      <c r="A41" s="40"/>
      <c r="B41" s="41"/>
      <c r="C41" s="37"/>
      <c r="D41" s="42"/>
      <c r="E41" s="46"/>
      <c r="F41" s="38"/>
      <c r="G41" s="38"/>
      <c r="H41" s="39"/>
    </row>
    <row r="42" spans="1:8" x14ac:dyDescent="0.25">
      <c r="A42" s="40"/>
      <c r="B42" s="41"/>
      <c r="C42" s="37"/>
      <c r="D42" s="42"/>
      <c r="E42" s="46"/>
      <c r="F42" s="38"/>
      <c r="G42" s="38"/>
      <c r="H42" s="39"/>
    </row>
    <row r="43" spans="1:8" x14ac:dyDescent="0.25">
      <c r="A43" s="40"/>
      <c r="B43" s="41"/>
      <c r="C43" s="37"/>
      <c r="D43" s="42"/>
      <c r="E43" s="46"/>
      <c r="F43" s="38"/>
      <c r="G43" s="38"/>
      <c r="H43" s="39"/>
    </row>
    <row r="44" spans="1:8" x14ac:dyDescent="0.25">
      <c r="A44" s="40"/>
      <c r="B44" s="41"/>
      <c r="C44" s="37"/>
      <c r="D44" s="42"/>
      <c r="E44" s="46"/>
      <c r="F44" s="38"/>
      <c r="G44" s="38"/>
      <c r="H44" s="39"/>
    </row>
    <row r="45" spans="1:8" x14ac:dyDescent="0.25">
      <c r="A45" s="40"/>
      <c r="B45" s="41"/>
      <c r="C45" s="37"/>
      <c r="D45" s="42"/>
      <c r="E45" s="46"/>
      <c r="F45" s="38"/>
      <c r="G45" s="38"/>
      <c r="H45" s="39"/>
    </row>
    <row r="46" spans="1:8" x14ac:dyDescent="0.25">
      <c r="A46" s="40"/>
      <c r="B46" s="41"/>
      <c r="C46" s="37"/>
      <c r="D46" s="42"/>
      <c r="E46" s="46"/>
      <c r="F46" s="38"/>
      <c r="G46" s="38"/>
      <c r="H46" s="39"/>
    </row>
    <row r="47" spans="1:8" x14ac:dyDescent="0.25">
      <c r="A47" s="40"/>
      <c r="B47" s="41"/>
      <c r="C47" s="37"/>
      <c r="D47" s="42"/>
      <c r="E47" s="46"/>
      <c r="F47" s="38"/>
      <c r="G47" s="38"/>
      <c r="H47" s="39"/>
    </row>
    <row r="48" spans="1:8" x14ac:dyDescent="0.25">
      <c r="A48" s="40"/>
      <c r="B48" s="41"/>
      <c r="C48" s="37"/>
      <c r="D48" s="42"/>
      <c r="E48" s="46"/>
      <c r="F48" s="38"/>
      <c r="G48" s="38"/>
      <c r="H48" s="39"/>
    </row>
    <row r="49" spans="1:8" x14ac:dyDescent="0.25">
      <c r="A49" s="40"/>
      <c r="B49" s="41"/>
      <c r="C49" s="37"/>
      <c r="D49" s="42"/>
      <c r="E49" s="46"/>
      <c r="F49" s="38"/>
      <c r="G49" s="38"/>
      <c r="H49" s="39"/>
    </row>
    <row r="50" spans="1:8" x14ac:dyDescent="0.25">
      <c r="A50" s="40"/>
      <c r="B50" s="41"/>
      <c r="C50" s="37"/>
      <c r="D50" s="42"/>
      <c r="E50" s="46"/>
      <c r="F50" s="38"/>
      <c r="G50" s="38"/>
      <c r="H50" s="39"/>
    </row>
    <row r="51" spans="1:8" x14ac:dyDescent="0.25">
      <c r="A51" s="40"/>
      <c r="B51" s="41"/>
      <c r="C51" s="37"/>
      <c r="D51" s="42"/>
      <c r="E51" s="46"/>
      <c r="F51" s="38"/>
      <c r="G51" s="38"/>
      <c r="H51" s="39"/>
    </row>
    <row r="52" spans="1:8" x14ac:dyDescent="0.25">
      <c r="A52" s="40"/>
      <c r="B52" s="41"/>
      <c r="C52" s="37"/>
      <c r="D52" s="42"/>
      <c r="E52" s="46"/>
      <c r="F52" s="38"/>
      <c r="G52" s="38"/>
      <c r="H52" s="39"/>
    </row>
    <row r="53" spans="1:8" x14ac:dyDescent="0.25">
      <c r="A53" s="40"/>
      <c r="B53" s="41"/>
      <c r="C53" s="37"/>
      <c r="D53" s="42"/>
      <c r="E53" s="46"/>
      <c r="F53" s="38"/>
      <c r="G53" s="38"/>
      <c r="H53" s="39"/>
    </row>
    <row r="54" spans="1:8" x14ac:dyDescent="0.25">
      <c r="A54" s="40"/>
      <c r="B54" s="41"/>
      <c r="C54" s="37"/>
      <c r="D54" s="42"/>
      <c r="E54" s="46"/>
      <c r="F54" s="38"/>
      <c r="G54" s="38"/>
      <c r="H54" s="39"/>
    </row>
    <row r="55" spans="1:8" x14ac:dyDescent="0.25">
      <c r="A55" s="40"/>
      <c r="B55" s="41"/>
      <c r="C55" s="37"/>
      <c r="D55" s="42"/>
      <c r="E55" s="46"/>
      <c r="F55" s="38"/>
      <c r="G55" s="38"/>
      <c r="H55" s="39"/>
    </row>
    <row r="56" spans="1:8" x14ac:dyDescent="0.25">
      <c r="A56" s="40"/>
      <c r="B56" s="41"/>
      <c r="C56" s="37"/>
      <c r="D56" s="42"/>
      <c r="E56" s="46"/>
      <c r="F56" s="38"/>
      <c r="G56" s="38"/>
      <c r="H56" s="39"/>
    </row>
    <row r="57" spans="1:8" x14ac:dyDescent="0.25">
      <c r="A57" s="40"/>
      <c r="B57" s="41"/>
      <c r="C57" s="37"/>
      <c r="D57" s="42"/>
      <c r="E57" s="46"/>
      <c r="F57" s="38"/>
      <c r="G57" s="38"/>
      <c r="H57" s="39"/>
    </row>
    <row r="58" spans="1:8" ht="15.75" thickBot="1" x14ac:dyDescent="0.3">
      <c r="A58" s="30"/>
      <c r="B58" s="27"/>
      <c r="C58" s="28"/>
      <c r="D58" s="31"/>
      <c r="E58" s="47"/>
      <c r="F58" s="57"/>
      <c r="G58" s="57"/>
      <c r="H58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8"/>
  <sheetViews>
    <sheetView topLeftCell="A4" workbookViewId="0">
      <selection activeCell="L12" sqref="L12:R29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8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8" ht="18.75" x14ac:dyDescent="0.3">
      <c r="A2" s="19"/>
      <c r="B2" s="24"/>
      <c r="D2" s="19"/>
      <c r="E2" s="19"/>
      <c r="F2" s="55"/>
    </row>
    <row r="3" spans="1:8" ht="18.75" x14ac:dyDescent="0.3">
      <c r="A3" s="20" t="s">
        <v>251</v>
      </c>
      <c r="C3" s="25">
        <v>341</v>
      </c>
      <c r="D3" s="19"/>
      <c r="E3" s="19"/>
      <c r="F3" s="55"/>
    </row>
    <row r="4" spans="1:8" ht="18.75" x14ac:dyDescent="0.3">
      <c r="A4" s="19"/>
      <c r="B4" s="24"/>
      <c r="D4" s="19"/>
      <c r="E4" s="19"/>
      <c r="F4" s="55"/>
    </row>
    <row r="5" spans="1:8" ht="18.75" x14ac:dyDescent="0.3">
      <c r="A5" s="20" t="s">
        <v>256</v>
      </c>
      <c r="C5" s="26" t="str">
        <f>VLOOKUP(C3,'Liste salariés'!A3:G104,2,FALSE)</f>
        <v>CORDANI Jean Marie</v>
      </c>
      <c r="D5" s="19"/>
      <c r="E5" s="19"/>
      <c r="F5" s="55"/>
    </row>
    <row r="6" spans="1:8" ht="39.75" customHeight="1" x14ac:dyDescent="0.3">
      <c r="A6" s="20" t="s">
        <v>252</v>
      </c>
      <c r="C6" s="23">
        <f>VLOOKUP(C3,'Liste salariés'!A3:J103,6,FALSE)</f>
        <v>27912</v>
      </c>
      <c r="D6" s="20" t="s">
        <v>253</v>
      </c>
      <c r="E6" s="49">
        <f ca="1">(B1-C6)/365</f>
        <v>49.80821917808219</v>
      </c>
      <c r="F6" s="48"/>
    </row>
    <row r="7" spans="1:8" ht="26.25" customHeight="1" x14ac:dyDescent="0.3">
      <c r="A7" s="20" t="s">
        <v>254</v>
      </c>
      <c r="C7" s="23">
        <f>VLOOKUP(C3,'Liste salariés'!A3:J105,3,FALSE)</f>
        <v>42101</v>
      </c>
      <c r="D7" s="20" t="s">
        <v>255</v>
      </c>
      <c r="E7" s="49">
        <f ca="1">(B1-C7)/365</f>
        <v>10.934246575342465</v>
      </c>
      <c r="F7" s="48"/>
    </row>
    <row r="8" spans="1:8" x14ac:dyDescent="0.25">
      <c r="B8"/>
    </row>
    <row r="9" spans="1:8" x14ac:dyDescent="0.25">
      <c r="B9"/>
    </row>
    <row r="10" spans="1:8" ht="18.75" x14ac:dyDescent="0.3">
      <c r="A10" s="20" t="s">
        <v>257</v>
      </c>
      <c r="B10"/>
    </row>
    <row r="11" spans="1:8" ht="15.75" thickBot="1" x14ac:dyDescent="0.3"/>
    <row r="12" spans="1:8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8" ht="20.100000000000001" customHeight="1" x14ac:dyDescent="0.25">
      <c r="A13" s="32">
        <v>2031</v>
      </c>
      <c r="B13" s="60" t="s">
        <v>180</v>
      </c>
      <c r="C13" s="33"/>
      <c r="D13" s="44"/>
      <c r="E13" s="45"/>
      <c r="F13" s="34"/>
      <c r="G13" s="34">
        <v>2015</v>
      </c>
      <c r="H13" s="35">
        <v>0.25</v>
      </c>
    </row>
    <row r="14" spans="1:8" ht="20.100000000000001" customHeight="1" x14ac:dyDescent="0.25">
      <c r="A14" s="36">
        <v>3001</v>
      </c>
      <c r="B14" s="59" t="s">
        <v>23</v>
      </c>
      <c r="C14" s="37"/>
      <c r="D14" s="42"/>
      <c r="E14" s="46"/>
      <c r="F14" s="38"/>
      <c r="G14" s="38">
        <v>2015</v>
      </c>
      <c r="H14" s="39">
        <v>151.66999999999999</v>
      </c>
    </row>
    <row r="15" spans="1:8" ht="20.100000000000001" customHeight="1" x14ac:dyDescent="0.25">
      <c r="A15" s="36">
        <v>3001</v>
      </c>
      <c r="B15" s="59" t="s">
        <v>23</v>
      </c>
      <c r="C15" s="37"/>
      <c r="D15" s="42"/>
      <c r="E15" s="46"/>
      <c r="F15" s="38"/>
      <c r="G15" s="38">
        <v>2017</v>
      </c>
      <c r="H15" s="39">
        <v>151.66999999999999</v>
      </c>
    </row>
    <row r="16" spans="1:8" ht="20.100000000000001" customHeight="1" x14ac:dyDescent="0.25">
      <c r="A16" s="36">
        <v>2007</v>
      </c>
      <c r="B16" s="59" t="s">
        <v>245</v>
      </c>
      <c r="C16" s="37"/>
      <c r="D16" s="42"/>
      <c r="E16" s="46"/>
      <c r="F16" s="38"/>
      <c r="G16" s="38">
        <v>2017</v>
      </c>
      <c r="H16" s="39">
        <v>2</v>
      </c>
    </row>
    <row r="17" spans="1:8" ht="20.100000000000001" customHeight="1" x14ac:dyDescent="0.25">
      <c r="A17" s="36">
        <v>1020</v>
      </c>
      <c r="B17" s="59" t="s">
        <v>202</v>
      </c>
      <c r="C17" s="37"/>
      <c r="D17" s="42"/>
      <c r="E17" s="46"/>
      <c r="F17" s="38"/>
      <c r="G17" s="38">
        <v>2018</v>
      </c>
      <c r="H17" s="39">
        <v>3.5</v>
      </c>
    </row>
    <row r="18" spans="1:8" ht="20.100000000000001" customHeight="1" x14ac:dyDescent="0.25">
      <c r="A18" s="36">
        <v>1002</v>
      </c>
      <c r="B18" s="59" t="s">
        <v>204</v>
      </c>
      <c r="C18" s="37"/>
      <c r="D18" s="42"/>
      <c r="E18" s="46"/>
      <c r="F18" s="38"/>
      <c r="G18" s="38">
        <v>2019</v>
      </c>
      <c r="H18" s="39">
        <v>14</v>
      </c>
    </row>
    <row r="19" spans="1:8" ht="20.100000000000001" customHeight="1" x14ac:dyDescent="0.25">
      <c r="A19" s="36">
        <v>1016</v>
      </c>
      <c r="B19" s="59" t="s">
        <v>207</v>
      </c>
      <c r="C19" s="37"/>
      <c r="D19" s="42"/>
      <c r="E19" s="46"/>
      <c r="F19" s="38"/>
      <c r="G19" s="38">
        <v>2019</v>
      </c>
      <c r="H19" s="39">
        <v>14</v>
      </c>
    </row>
    <row r="20" spans="1:8" ht="20.100000000000001" customHeight="1" x14ac:dyDescent="0.25">
      <c r="A20" s="36">
        <v>3001</v>
      </c>
      <c r="B20" s="59" t="s">
        <v>23</v>
      </c>
      <c r="C20" s="37"/>
      <c r="D20" s="42"/>
      <c r="E20" s="46"/>
      <c r="F20" s="38"/>
      <c r="G20" s="38">
        <v>2019</v>
      </c>
      <c r="H20" s="39">
        <v>151.66999999999999</v>
      </c>
    </row>
    <row r="21" spans="1:8" ht="20.100000000000001" customHeight="1" x14ac:dyDescent="0.25">
      <c r="A21" s="36">
        <v>3002</v>
      </c>
      <c r="B21" s="59" t="s">
        <v>24</v>
      </c>
      <c r="C21" s="37"/>
      <c r="D21" s="42"/>
      <c r="E21" s="46"/>
      <c r="F21" s="38"/>
      <c r="G21" s="38">
        <v>2019</v>
      </c>
      <c r="H21" s="39">
        <v>151.66999999999999</v>
      </c>
    </row>
    <row r="22" spans="1:8" ht="20.100000000000001" customHeight="1" x14ac:dyDescent="0.25">
      <c r="A22" s="36">
        <v>3023</v>
      </c>
      <c r="B22" s="59" t="s">
        <v>54</v>
      </c>
      <c r="C22" s="37"/>
      <c r="D22" s="42"/>
      <c r="E22" s="46"/>
      <c r="F22" s="38"/>
      <c r="G22" s="38">
        <v>2019</v>
      </c>
      <c r="H22" s="39">
        <v>151.66999999999999</v>
      </c>
    </row>
    <row r="23" spans="1:8" ht="20.100000000000001" customHeight="1" x14ac:dyDescent="0.25">
      <c r="A23" s="36">
        <v>3013</v>
      </c>
      <c r="B23" s="59" t="s">
        <v>45</v>
      </c>
      <c r="C23" s="37"/>
      <c r="D23" s="42"/>
      <c r="E23" s="46"/>
      <c r="F23" s="38"/>
      <c r="G23" s="38">
        <v>2020</v>
      </c>
      <c r="H23" s="39">
        <v>120</v>
      </c>
    </row>
    <row r="24" spans="1:8" ht="20.100000000000001" customHeight="1" x14ac:dyDescent="0.25">
      <c r="A24" s="36">
        <v>3001</v>
      </c>
      <c r="B24" s="59" t="s">
        <v>23</v>
      </c>
      <c r="C24" s="37"/>
      <c r="D24" s="42"/>
      <c r="E24" s="46"/>
      <c r="F24" s="38"/>
      <c r="G24" s="38">
        <v>2021</v>
      </c>
      <c r="H24" s="39">
        <v>151.66999999999999</v>
      </c>
    </row>
    <row r="25" spans="1:8" ht="20.100000000000001" customHeight="1" x14ac:dyDescent="0.25">
      <c r="A25" s="36">
        <v>1017</v>
      </c>
      <c r="B25" s="59" t="s">
        <v>208</v>
      </c>
      <c r="C25" s="37"/>
      <c r="D25" s="42"/>
      <c r="E25" s="46"/>
      <c r="F25" s="38"/>
      <c r="G25" s="38">
        <v>2021</v>
      </c>
      <c r="H25" s="39">
        <v>7</v>
      </c>
    </row>
    <row r="26" spans="1:8" ht="20.100000000000001" customHeight="1" x14ac:dyDescent="0.25">
      <c r="A26" s="36">
        <v>1017</v>
      </c>
      <c r="B26" s="59" t="s">
        <v>208</v>
      </c>
      <c r="C26" s="37"/>
      <c r="D26" s="42"/>
      <c r="E26" s="46"/>
      <c r="F26" s="38"/>
      <c r="G26" s="38">
        <v>2023</v>
      </c>
      <c r="H26" s="39">
        <v>7</v>
      </c>
    </row>
    <row r="27" spans="1:8" ht="20.100000000000001" customHeight="1" x14ac:dyDescent="0.25">
      <c r="A27" s="36">
        <v>1002</v>
      </c>
      <c r="B27" s="59" t="s">
        <v>204</v>
      </c>
      <c r="C27" s="37"/>
      <c r="D27" s="42"/>
      <c r="E27" s="46"/>
      <c r="F27" s="38"/>
      <c r="G27" s="38">
        <v>2024</v>
      </c>
      <c r="H27" s="39">
        <v>14</v>
      </c>
    </row>
    <row r="28" spans="1:8" ht="20.100000000000001" customHeight="1" x14ac:dyDescent="0.25">
      <c r="A28" s="36">
        <v>1006</v>
      </c>
      <c r="B28" s="59" t="s">
        <v>150</v>
      </c>
      <c r="C28" s="37"/>
      <c r="D28" s="42"/>
      <c r="E28" s="46"/>
      <c r="F28" s="38"/>
      <c r="G28" s="38">
        <v>2024</v>
      </c>
      <c r="H28" s="39">
        <v>14</v>
      </c>
    </row>
    <row r="29" spans="1:8" ht="20.100000000000001" customHeight="1" x14ac:dyDescent="0.25">
      <c r="A29" s="36">
        <v>1017</v>
      </c>
      <c r="B29" s="59" t="s">
        <v>208</v>
      </c>
      <c r="C29" s="37"/>
      <c r="D29" s="42"/>
      <c r="E29" s="46"/>
      <c r="F29" s="38"/>
      <c r="G29" s="38">
        <v>2025</v>
      </c>
      <c r="H29" s="39">
        <v>7</v>
      </c>
    </row>
    <row r="30" spans="1:8" ht="20.100000000000001" customHeight="1" x14ac:dyDescent="0.25">
      <c r="A30" s="36"/>
      <c r="B30" s="59"/>
      <c r="C30" s="37"/>
      <c r="D30" s="42"/>
      <c r="E30" s="46"/>
      <c r="F30" s="38"/>
      <c r="G30" s="38"/>
      <c r="H30" s="39"/>
    </row>
    <row r="31" spans="1:8" ht="20.100000000000001" customHeight="1" x14ac:dyDescent="0.25">
      <c r="A31" s="36"/>
      <c r="B31" s="59"/>
      <c r="C31" s="37"/>
      <c r="D31" s="42"/>
      <c r="E31" s="46"/>
      <c r="F31" s="38"/>
      <c r="G31" s="38"/>
      <c r="H31" s="39"/>
    </row>
    <row r="32" spans="1:8" ht="20.100000000000001" customHeight="1" x14ac:dyDescent="0.25">
      <c r="A32" s="36"/>
      <c r="B32" s="59"/>
      <c r="C32" s="37"/>
      <c r="D32" s="42"/>
      <c r="E32" s="46"/>
      <c r="F32" s="38"/>
      <c r="G32" s="38"/>
      <c r="H32" s="39"/>
    </row>
    <row r="33" spans="1:8" ht="20.100000000000001" customHeight="1" x14ac:dyDescent="0.25">
      <c r="A33" s="36"/>
      <c r="B33" s="37"/>
      <c r="C33" s="37"/>
      <c r="D33" s="42"/>
      <c r="E33" s="46"/>
      <c r="F33" s="38"/>
      <c r="G33" s="38"/>
      <c r="H33" s="39"/>
    </row>
    <row r="34" spans="1:8" ht="20.100000000000001" customHeight="1" x14ac:dyDescent="0.25">
      <c r="A34" s="36"/>
      <c r="B34" s="37"/>
      <c r="C34" s="37"/>
      <c r="D34" s="42"/>
      <c r="E34" s="46"/>
      <c r="F34" s="38"/>
      <c r="G34" s="38"/>
      <c r="H34" s="39"/>
    </row>
    <row r="35" spans="1:8" ht="20.100000000000001" customHeight="1" x14ac:dyDescent="0.25">
      <c r="A35" s="36"/>
      <c r="B35" s="37"/>
      <c r="C35" s="37"/>
      <c r="D35" s="42"/>
      <c r="E35" s="46"/>
      <c r="F35" s="38"/>
      <c r="G35" s="38"/>
      <c r="H35" s="39"/>
    </row>
    <row r="36" spans="1:8" ht="20.100000000000001" customHeight="1" x14ac:dyDescent="0.25">
      <c r="A36" s="36"/>
      <c r="B36" s="37"/>
      <c r="C36" s="37"/>
      <c r="D36" s="42"/>
      <c r="E36" s="46"/>
      <c r="F36" s="38"/>
      <c r="G36" s="38"/>
      <c r="H36" s="39"/>
    </row>
    <row r="37" spans="1:8" x14ac:dyDescent="0.25">
      <c r="A37" s="40"/>
      <c r="B37" s="41"/>
      <c r="C37" s="37"/>
      <c r="D37" s="42"/>
      <c r="E37" s="46"/>
      <c r="F37" s="38"/>
      <c r="G37" s="38"/>
      <c r="H37" s="39"/>
    </row>
    <row r="38" spans="1:8" x14ac:dyDescent="0.25">
      <c r="A38" s="40"/>
      <c r="B38" s="41"/>
      <c r="C38" s="37"/>
      <c r="D38" s="42"/>
      <c r="E38" s="46"/>
      <c r="F38" s="56"/>
      <c r="G38" s="38"/>
      <c r="H38" s="39"/>
    </row>
    <row r="39" spans="1:8" x14ac:dyDescent="0.25">
      <c r="A39" s="40"/>
      <c r="B39" s="41"/>
      <c r="C39" s="37"/>
      <c r="D39" s="42"/>
      <c r="E39" s="46"/>
      <c r="F39" s="38"/>
      <c r="G39" s="38"/>
      <c r="H39" s="39"/>
    </row>
    <row r="40" spans="1:8" x14ac:dyDescent="0.25">
      <c r="A40" s="40"/>
      <c r="B40" s="41"/>
      <c r="C40" s="37"/>
      <c r="D40" s="42"/>
      <c r="E40" s="46"/>
      <c r="F40" s="38"/>
      <c r="G40" s="38"/>
      <c r="H40" s="39"/>
    </row>
    <row r="41" spans="1:8" x14ac:dyDescent="0.25">
      <c r="A41" s="40"/>
      <c r="B41" s="41"/>
      <c r="C41" s="37"/>
      <c r="D41" s="42"/>
      <c r="E41" s="46"/>
      <c r="F41" s="38"/>
      <c r="G41" s="38"/>
      <c r="H41" s="39"/>
    </row>
    <row r="42" spans="1:8" x14ac:dyDescent="0.25">
      <c r="A42" s="40"/>
      <c r="B42" s="41"/>
      <c r="C42" s="37"/>
      <c r="D42" s="42"/>
      <c r="E42" s="46"/>
      <c r="F42" s="38"/>
      <c r="G42" s="38"/>
      <c r="H42" s="39"/>
    </row>
    <row r="43" spans="1:8" x14ac:dyDescent="0.25">
      <c r="A43" s="40"/>
      <c r="B43" s="41"/>
      <c r="C43" s="37"/>
      <c r="D43" s="42"/>
      <c r="E43" s="46"/>
      <c r="F43" s="38"/>
      <c r="G43" s="38"/>
      <c r="H43" s="39"/>
    </row>
    <row r="44" spans="1:8" x14ac:dyDescent="0.25">
      <c r="A44" s="40"/>
      <c r="B44" s="41"/>
      <c r="C44" s="37"/>
      <c r="D44" s="42"/>
      <c r="E44" s="46"/>
      <c r="F44" s="38"/>
      <c r="G44" s="38"/>
      <c r="H44" s="39"/>
    </row>
    <row r="45" spans="1:8" x14ac:dyDescent="0.25">
      <c r="A45" s="40"/>
      <c r="B45" s="41"/>
      <c r="C45" s="37"/>
      <c r="D45" s="42"/>
      <c r="E45" s="46"/>
      <c r="F45" s="38"/>
      <c r="G45" s="38"/>
      <c r="H45" s="39"/>
    </row>
    <row r="46" spans="1:8" x14ac:dyDescent="0.25">
      <c r="A46" s="40"/>
      <c r="B46" s="41"/>
      <c r="C46" s="37"/>
      <c r="D46" s="42"/>
      <c r="E46" s="46"/>
      <c r="F46" s="38"/>
      <c r="G46" s="38"/>
      <c r="H46" s="39"/>
    </row>
    <row r="47" spans="1:8" x14ac:dyDescent="0.25">
      <c r="A47" s="40"/>
      <c r="B47" s="41"/>
      <c r="C47" s="37"/>
      <c r="D47" s="42"/>
      <c r="E47" s="46"/>
      <c r="F47" s="38"/>
      <c r="G47" s="38"/>
      <c r="H47" s="39"/>
    </row>
    <row r="48" spans="1:8" x14ac:dyDescent="0.25">
      <c r="A48" s="40"/>
      <c r="B48" s="41"/>
      <c r="C48" s="37"/>
      <c r="D48" s="42"/>
      <c r="E48" s="46"/>
      <c r="F48" s="38"/>
      <c r="G48" s="38"/>
      <c r="H48" s="39"/>
    </row>
    <row r="49" spans="1:8" x14ac:dyDescent="0.25">
      <c r="A49" s="40"/>
      <c r="B49" s="41"/>
      <c r="C49" s="37"/>
      <c r="D49" s="42"/>
      <c r="E49" s="46"/>
      <c r="F49" s="38"/>
      <c r="G49" s="38"/>
      <c r="H49" s="39"/>
    </row>
    <row r="50" spans="1:8" x14ac:dyDescent="0.25">
      <c r="A50" s="40"/>
      <c r="B50" s="41"/>
      <c r="C50" s="37"/>
      <c r="D50" s="42"/>
      <c r="E50" s="46"/>
      <c r="F50" s="38"/>
      <c r="G50" s="38"/>
      <c r="H50" s="39"/>
    </row>
    <row r="51" spans="1:8" x14ac:dyDescent="0.25">
      <c r="A51" s="40"/>
      <c r="B51" s="41"/>
      <c r="C51" s="37"/>
      <c r="D51" s="42"/>
      <c r="E51" s="46"/>
      <c r="F51" s="38"/>
      <c r="G51" s="38"/>
      <c r="H51" s="39"/>
    </row>
    <row r="52" spans="1:8" x14ac:dyDescent="0.25">
      <c r="A52" s="40"/>
      <c r="B52" s="41"/>
      <c r="C52" s="37"/>
      <c r="D52" s="42"/>
      <c r="E52" s="46"/>
      <c r="F52" s="38"/>
      <c r="G52" s="38"/>
      <c r="H52" s="39"/>
    </row>
    <row r="53" spans="1:8" x14ac:dyDescent="0.25">
      <c r="A53" s="40"/>
      <c r="B53" s="41"/>
      <c r="C53" s="37"/>
      <c r="D53" s="42"/>
      <c r="E53" s="46"/>
      <c r="F53" s="38"/>
      <c r="G53" s="38"/>
      <c r="H53" s="39"/>
    </row>
    <row r="54" spans="1:8" x14ac:dyDescent="0.25">
      <c r="A54" s="40"/>
      <c r="B54" s="41"/>
      <c r="C54" s="37"/>
      <c r="D54" s="42"/>
      <c r="E54" s="46"/>
      <c r="F54" s="38"/>
      <c r="G54" s="38"/>
      <c r="H54" s="39"/>
    </row>
    <row r="55" spans="1:8" x14ac:dyDescent="0.25">
      <c r="A55" s="40"/>
      <c r="B55" s="41"/>
      <c r="C55" s="37"/>
      <c r="D55" s="42"/>
      <c r="E55" s="46"/>
      <c r="F55" s="38"/>
      <c r="G55" s="38"/>
      <c r="H55" s="39"/>
    </row>
    <row r="56" spans="1:8" x14ac:dyDescent="0.25">
      <c r="A56" s="40"/>
      <c r="B56" s="41"/>
      <c r="C56" s="37"/>
      <c r="D56" s="42"/>
      <c r="E56" s="46"/>
      <c r="F56" s="38"/>
      <c r="G56" s="38"/>
      <c r="H56" s="39"/>
    </row>
    <row r="57" spans="1:8" x14ac:dyDescent="0.25">
      <c r="A57" s="40"/>
      <c r="B57" s="41"/>
      <c r="C57" s="37"/>
      <c r="D57" s="42"/>
      <c r="E57" s="46"/>
      <c r="F57" s="38"/>
      <c r="G57" s="38"/>
      <c r="H57" s="39"/>
    </row>
    <row r="58" spans="1:8" ht="15.75" thickBot="1" x14ac:dyDescent="0.3">
      <c r="A58" s="30"/>
      <c r="B58" s="27"/>
      <c r="C58" s="28"/>
      <c r="D58" s="31"/>
      <c r="E58" s="47"/>
      <c r="F58" s="57"/>
      <c r="G58" s="57"/>
      <c r="H58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8"/>
  <sheetViews>
    <sheetView workbookViewId="0">
      <selection activeCell="D19" sqref="D19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8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8" ht="18.75" x14ac:dyDescent="0.3">
      <c r="A2" s="19"/>
      <c r="B2" s="24"/>
      <c r="D2" s="19"/>
      <c r="E2" s="19"/>
      <c r="F2" s="55"/>
    </row>
    <row r="3" spans="1:8" ht="18.75" x14ac:dyDescent="0.3">
      <c r="A3" s="20" t="s">
        <v>251</v>
      </c>
      <c r="C3" s="25">
        <v>336</v>
      </c>
      <c r="D3" s="19"/>
      <c r="E3" s="19"/>
      <c r="F3" s="55"/>
    </row>
    <row r="4" spans="1:8" ht="18.75" x14ac:dyDescent="0.3">
      <c r="A4" s="19"/>
      <c r="B4" s="24"/>
      <c r="D4" s="19"/>
      <c r="E4" s="19"/>
      <c r="F4" s="55"/>
    </row>
    <row r="5" spans="1:8" ht="18.75" x14ac:dyDescent="0.3">
      <c r="A5" s="20" t="s">
        <v>256</v>
      </c>
      <c r="C5" s="26" t="str">
        <f>VLOOKUP(C3,'Liste salariés'!A3:G104,2,FALSE)</f>
        <v>ETCHEVERRY Frédéric</v>
      </c>
      <c r="D5" s="19"/>
      <c r="E5" s="19"/>
      <c r="F5" s="55"/>
    </row>
    <row r="6" spans="1:8" ht="39.75" customHeight="1" x14ac:dyDescent="0.3">
      <c r="A6" s="20" t="s">
        <v>252</v>
      </c>
      <c r="C6" s="23">
        <f>VLOOKUP(C3,'Liste salariés'!A3:J103,6,FALSE)</f>
        <v>30215</v>
      </c>
      <c r="D6" s="20" t="s">
        <v>253</v>
      </c>
      <c r="E6" s="49">
        <f ca="1">(B1-C6)/365</f>
        <v>43.4986301369863</v>
      </c>
      <c r="F6" s="48"/>
    </row>
    <row r="7" spans="1:8" ht="26.25" customHeight="1" x14ac:dyDescent="0.3">
      <c r="A7" s="20" t="s">
        <v>254</v>
      </c>
      <c r="C7" s="23">
        <f>VLOOKUP(C3,'Liste salariés'!A3:J105,3,FALSE)</f>
        <v>42016</v>
      </c>
      <c r="D7" s="20" t="s">
        <v>255</v>
      </c>
      <c r="E7" s="49">
        <f ca="1">(B1-C7)/365</f>
        <v>11.167123287671233</v>
      </c>
      <c r="F7" s="48"/>
    </row>
    <row r="8" spans="1:8" x14ac:dyDescent="0.25">
      <c r="B8"/>
    </row>
    <row r="9" spans="1:8" x14ac:dyDescent="0.25">
      <c r="B9"/>
    </row>
    <row r="10" spans="1:8" ht="18.75" x14ac:dyDescent="0.3">
      <c r="A10" s="20" t="s">
        <v>257</v>
      </c>
      <c r="B10"/>
    </row>
    <row r="11" spans="1:8" ht="15.75" thickBot="1" x14ac:dyDescent="0.3"/>
    <row r="12" spans="1:8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8" ht="20.100000000000001" customHeight="1" x14ac:dyDescent="0.25">
      <c r="A13" s="32">
        <v>1004</v>
      </c>
      <c r="B13" s="60" t="s">
        <v>206</v>
      </c>
      <c r="C13" s="33"/>
      <c r="D13" s="44"/>
      <c r="E13" s="45"/>
      <c r="F13" s="34"/>
      <c r="G13" s="34">
        <v>2015</v>
      </c>
      <c r="H13" s="35">
        <v>7</v>
      </c>
    </row>
    <row r="14" spans="1:8" ht="20.100000000000001" customHeight="1" x14ac:dyDescent="0.25">
      <c r="A14" s="36">
        <v>1009</v>
      </c>
      <c r="B14" s="59" t="s">
        <v>221</v>
      </c>
      <c r="C14" s="37"/>
      <c r="D14" s="42"/>
      <c r="E14" s="46"/>
      <c r="F14" s="38"/>
      <c r="G14" s="38">
        <v>2015</v>
      </c>
      <c r="H14" s="39">
        <v>3</v>
      </c>
    </row>
    <row r="15" spans="1:8" ht="20.100000000000001" customHeight="1" x14ac:dyDescent="0.25">
      <c r="A15" s="36">
        <v>2005</v>
      </c>
      <c r="B15" s="59" t="s">
        <v>153</v>
      </c>
      <c r="C15" s="37"/>
      <c r="D15" s="42"/>
      <c r="E15" s="46"/>
      <c r="F15" s="38"/>
      <c r="G15" s="38">
        <v>2015</v>
      </c>
      <c r="H15" s="39">
        <v>2</v>
      </c>
    </row>
    <row r="16" spans="1:8" ht="20.100000000000001" customHeight="1" x14ac:dyDescent="0.25">
      <c r="A16" s="36">
        <v>3020</v>
      </c>
      <c r="B16" s="59" t="s">
        <v>152</v>
      </c>
      <c r="C16" s="37"/>
      <c r="D16" s="42"/>
      <c r="E16" s="46"/>
      <c r="F16" s="38"/>
      <c r="G16" s="38">
        <v>2015</v>
      </c>
      <c r="H16" s="39">
        <v>151.66999999999999</v>
      </c>
    </row>
    <row r="17" spans="1:8" ht="20.100000000000001" customHeight="1" x14ac:dyDescent="0.25">
      <c r="A17" s="36">
        <v>3020</v>
      </c>
      <c r="B17" s="59" t="s">
        <v>152</v>
      </c>
      <c r="C17" s="37"/>
      <c r="D17" s="42"/>
      <c r="E17" s="46"/>
      <c r="F17" s="38"/>
      <c r="G17" s="38">
        <v>2017</v>
      </c>
      <c r="H17" s="39">
        <v>151.66999999999999</v>
      </c>
    </row>
    <row r="18" spans="1:8" ht="20.100000000000001" customHeight="1" x14ac:dyDescent="0.25">
      <c r="A18" s="36">
        <v>2007</v>
      </c>
      <c r="B18" s="59" t="s">
        <v>245</v>
      </c>
      <c r="C18" s="37"/>
      <c r="D18" s="42"/>
      <c r="E18" s="46"/>
      <c r="F18" s="38"/>
      <c r="G18" s="38">
        <v>2017</v>
      </c>
      <c r="H18" s="39">
        <v>3</v>
      </c>
    </row>
    <row r="19" spans="1:8" ht="20.100000000000001" customHeight="1" x14ac:dyDescent="0.25">
      <c r="A19" s="36">
        <v>1008</v>
      </c>
      <c r="B19" s="59" t="s">
        <v>241</v>
      </c>
      <c r="C19" s="37"/>
      <c r="D19" s="42"/>
      <c r="E19" s="46"/>
      <c r="F19" s="38"/>
      <c r="G19" s="38">
        <v>2018</v>
      </c>
      <c r="H19" s="39">
        <v>3</v>
      </c>
    </row>
    <row r="20" spans="1:8" ht="20.100000000000001" customHeight="1" x14ac:dyDescent="0.25">
      <c r="A20" s="36">
        <v>1009</v>
      </c>
      <c r="B20" s="59" t="s">
        <v>221</v>
      </c>
      <c r="C20" s="37"/>
      <c r="D20" s="42"/>
      <c r="E20" s="46"/>
      <c r="F20" s="38"/>
      <c r="G20" s="38">
        <v>2018</v>
      </c>
      <c r="H20" s="39">
        <v>3</v>
      </c>
    </row>
    <row r="21" spans="1:8" ht="20.100000000000001" customHeight="1" x14ac:dyDescent="0.25">
      <c r="A21" s="36">
        <v>1020</v>
      </c>
      <c r="B21" s="59" t="s">
        <v>202</v>
      </c>
      <c r="C21" s="37"/>
      <c r="D21" s="42"/>
      <c r="E21" s="46"/>
      <c r="F21" s="38"/>
      <c r="G21" s="38">
        <v>2018</v>
      </c>
      <c r="H21" s="39">
        <v>3.5</v>
      </c>
    </row>
    <row r="22" spans="1:8" ht="20.100000000000001" customHeight="1" x14ac:dyDescent="0.25">
      <c r="A22" s="36">
        <v>3012</v>
      </c>
      <c r="B22" s="59" t="s">
        <v>38</v>
      </c>
      <c r="C22" s="37"/>
      <c r="D22" s="42"/>
      <c r="E22" s="46"/>
      <c r="F22" s="38"/>
      <c r="G22" s="38">
        <v>2018</v>
      </c>
      <c r="H22" s="39">
        <v>151.66999999999999</v>
      </c>
    </row>
    <row r="23" spans="1:8" ht="20.100000000000001" customHeight="1" x14ac:dyDescent="0.25">
      <c r="A23" s="36">
        <v>3043</v>
      </c>
      <c r="B23" s="59" t="s">
        <v>44</v>
      </c>
      <c r="C23" s="37"/>
      <c r="D23" s="42"/>
      <c r="E23" s="46"/>
      <c r="F23" s="38"/>
      <c r="G23" s="38">
        <v>2018</v>
      </c>
      <c r="H23" s="39">
        <v>151.66999999999999</v>
      </c>
    </row>
    <row r="24" spans="1:8" ht="20.100000000000001" customHeight="1" x14ac:dyDescent="0.25">
      <c r="A24" s="36">
        <v>1028</v>
      </c>
      <c r="B24" s="59" t="s">
        <v>175</v>
      </c>
      <c r="C24" s="37"/>
      <c r="D24" s="42"/>
      <c r="E24" s="46"/>
      <c r="F24" s="38"/>
      <c r="G24" s="38">
        <v>2019</v>
      </c>
      <c r="H24" s="39">
        <v>14</v>
      </c>
    </row>
    <row r="25" spans="1:8" ht="20.100000000000001" customHeight="1" x14ac:dyDescent="0.25">
      <c r="A25" s="36">
        <v>1003</v>
      </c>
      <c r="B25" s="59" t="s">
        <v>205</v>
      </c>
      <c r="C25" s="37"/>
      <c r="D25" s="42"/>
      <c r="E25" s="46"/>
      <c r="F25" s="38"/>
      <c r="G25" s="38">
        <v>2020</v>
      </c>
      <c r="H25" s="39">
        <v>7</v>
      </c>
    </row>
    <row r="26" spans="1:8" ht="20.100000000000001" customHeight="1" x14ac:dyDescent="0.25">
      <c r="A26" s="36">
        <v>1004</v>
      </c>
      <c r="B26" s="59" t="s">
        <v>206</v>
      </c>
      <c r="C26" s="37"/>
      <c r="D26" s="42"/>
      <c r="E26" s="46"/>
      <c r="F26" s="38"/>
      <c r="G26" s="38">
        <v>2023</v>
      </c>
      <c r="H26" s="39">
        <v>7</v>
      </c>
    </row>
    <row r="27" spans="1:8" ht="20.100000000000001" customHeight="1" x14ac:dyDescent="0.25">
      <c r="A27" s="36">
        <v>1012</v>
      </c>
      <c r="B27" s="59" t="s">
        <v>242</v>
      </c>
      <c r="C27" s="37"/>
      <c r="D27" s="42"/>
      <c r="E27" s="46"/>
      <c r="F27" s="38"/>
      <c r="G27" s="38">
        <v>2023</v>
      </c>
      <c r="H27" s="39">
        <v>3.5</v>
      </c>
    </row>
    <row r="28" spans="1:8" ht="20.100000000000001" customHeight="1" x14ac:dyDescent="0.25">
      <c r="A28" s="36">
        <v>1014</v>
      </c>
      <c r="B28" s="59" t="s">
        <v>161</v>
      </c>
      <c r="C28" s="37"/>
      <c r="D28" s="42"/>
      <c r="E28" s="46"/>
      <c r="F28" s="38"/>
      <c r="G28" s="38">
        <v>2023</v>
      </c>
      <c r="H28" s="39">
        <v>35</v>
      </c>
    </row>
    <row r="29" spans="1:8" ht="20.100000000000001" customHeight="1" x14ac:dyDescent="0.25">
      <c r="A29" s="36">
        <v>1024</v>
      </c>
      <c r="B29" s="59" t="s">
        <v>203</v>
      </c>
      <c r="C29" s="37"/>
      <c r="D29" s="42"/>
      <c r="E29" s="46"/>
      <c r="F29" s="38"/>
      <c r="G29" s="38">
        <v>2023</v>
      </c>
      <c r="H29" s="39">
        <v>0.5</v>
      </c>
    </row>
    <row r="30" spans="1:8" ht="20.100000000000001" customHeight="1" x14ac:dyDescent="0.25">
      <c r="A30" s="36">
        <v>1030</v>
      </c>
      <c r="B30" s="59" t="s">
        <v>146</v>
      </c>
      <c r="C30" s="37"/>
      <c r="D30" s="42"/>
      <c r="E30" s="46"/>
      <c r="F30" s="38"/>
      <c r="G30" s="38">
        <v>2023</v>
      </c>
      <c r="H30" s="39">
        <v>0.5</v>
      </c>
    </row>
    <row r="31" spans="1:8" ht="20.100000000000001" customHeight="1" x14ac:dyDescent="0.25">
      <c r="A31" s="36">
        <v>1020</v>
      </c>
      <c r="B31" s="59" t="s">
        <v>202</v>
      </c>
      <c r="C31" s="37"/>
      <c r="D31" s="42"/>
      <c r="E31" s="46"/>
      <c r="F31" s="38"/>
      <c r="G31" s="38">
        <v>2024</v>
      </c>
      <c r="H31" s="39">
        <v>3.5</v>
      </c>
    </row>
    <row r="32" spans="1:8" ht="20.100000000000001" customHeight="1" x14ac:dyDescent="0.25">
      <c r="A32" s="36">
        <v>1032</v>
      </c>
      <c r="B32" s="59" t="s">
        <v>210</v>
      </c>
      <c r="C32" s="37"/>
      <c r="D32" s="42"/>
      <c r="E32" s="46"/>
      <c r="F32" s="38"/>
      <c r="G32" s="38">
        <v>2024</v>
      </c>
      <c r="H32" s="39">
        <v>2</v>
      </c>
    </row>
    <row r="33" spans="1:8" ht="20.100000000000001" customHeight="1" x14ac:dyDescent="0.25">
      <c r="A33" s="36">
        <v>1033</v>
      </c>
      <c r="B33" s="37" t="s">
        <v>248</v>
      </c>
      <c r="C33" s="37"/>
      <c r="D33" s="42"/>
      <c r="E33" s="46"/>
      <c r="F33" s="38"/>
      <c r="G33" s="38">
        <v>2024</v>
      </c>
      <c r="H33" s="39">
        <v>1.5</v>
      </c>
    </row>
    <row r="34" spans="1:8" ht="20.100000000000001" customHeight="1" x14ac:dyDescent="0.25">
      <c r="A34" s="36">
        <v>3032</v>
      </c>
      <c r="B34" s="37" t="s">
        <v>30</v>
      </c>
      <c r="C34" s="37"/>
      <c r="D34" s="42"/>
      <c r="E34" s="46"/>
      <c r="F34" s="38"/>
      <c r="G34" s="38">
        <v>2024</v>
      </c>
      <c r="H34" s="39">
        <v>151.66999999999999</v>
      </c>
    </row>
    <row r="35" spans="1:8" ht="20.100000000000001" customHeight="1" x14ac:dyDescent="0.25">
      <c r="A35" s="36">
        <v>3037</v>
      </c>
      <c r="B35" s="37" t="s">
        <v>29</v>
      </c>
      <c r="C35" s="37"/>
      <c r="D35" s="42"/>
      <c r="E35" s="46"/>
      <c r="F35" s="38"/>
      <c r="G35" s="38">
        <v>2024</v>
      </c>
      <c r="H35" s="39">
        <v>151.66999999999999</v>
      </c>
    </row>
    <row r="36" spans="1:8" ht="20.100000000000001" customHeight="1" x14ac:dyDescent="0.25">
      <c r="A36" s="36"/>
      <c r="B36" s="37"/>
      <c r="C36" s="37"/>
      <c r="D36" s="42"/>
      <c r="E36" s="46"/>
      <c r="F36" s="38"/>
      <c r="G36" s="38"/>
      <c r="H36" s="39"/>
    </row>
    <row r="37" spans="1:8" x14ac:dyDescent="0.25">
      <c r="A37" s="40"/>
      <c r="B37" s="41"/>
      <c r="C37" s="37"/>
      <c r="D37" s="42"/>
      <c r="E37" s="46"/>
      <c r="F37" s="38"/>
      <c r="G37" s="38"/>
      <c r="H37" s="39"/>
    </row>
    <row r="38" spans="1:8" x14ac:dyDescent="0.25">
      <c r="A38" s="40"/>
      <c r="B38" s="41"/>
      <c r="C38" s="37"/>
      <c r="D38" s="42"/>
      <c r="E38" s="46"/>
      <c r="F38" s="56"/>
      <c r="G38" s="38"/>
      <c r="H38" s="39"/>
    </row>
    <row r="39" spans="1:8" x14ac:dyDescent="0.25">
      <c r="A39" s="40"/>
      <c r="B39" s="41"/>
      <c r="C39" s="37"/>
      <c r="D39" s="42"/>
      <c r="E39" s="46"/>
      <c r="F39" s="38"/>
      <c r="G39" s="38"/>
      <c r="H39" s="39"/>
    </row>
    <row r="40" spans="1:8" x14ac:dyDescent="0.25">
      <c r="A40" s="40"/>
      <c r="B40" s="41"/>
      <c r="C40" s="37"/>
      <c r="D40" s="42"/>
      <c r="E40" s="46"/>
      <c r="F40" s="38"/>
      <c r="G40" s="38"/>
      <c r="H40" s="39"/>
    </row>
    <row r="41" spans="1:8" x14ac:dyDescent="0.25">
      <c r="A41" s="40"/>
      <c r="B41" s="41"/>
      <c r="C41" s="37"/>
      <c r="D41" s="42"/>
      <c r="E41" s="46"/>
      <c r="F41" s="38"/>
      <c r="G41" s="38"/>
      <c r="H41" s="39"/>
    </row>
    <row r="42" spans="1:8" x14ac:dyDescent="0.25">
      <c r="A42" s="40"/>
      <c r="B42" s="41"/>
      <c r="C42" s="37"/>
      <c r="D42" s="42"/>
      <c r="E42" s="46"/>
      <c r="F42" s="38"/>
      <c r="G42" s="38"/>
      <c r="H42" s="39"/>
    </row>
    <row r="43" spans="1:8" x14ac:dyDescent="0.25">
      <c r="A43" s="40"/>
      <c r="B43" s="41"/>
      <c r="C43" s="37"/>
      <c r="D43" s="42"/>
      <c r="E43" s="46"/>
      <c r="F43" s="38"/>
      <c r="G43" s="38"/>
      <c r="H43" s="39"/>
    </row>
    <row r="44" spans="1:8" x14ac:dyDescent="0.25">
      <c r="A44" s="40"/>
      <c r="B44" s="41"/>
      <c r="C44" s="37"/>
      <c r="D44" s="42"/>
      <c r="E44" s="46"/>
      <c r="F44" s="38"/>
      <c r="G44" s="38"/>
      <c r="H44" s="39"/>
    </row>
    <row r="45" spans="1:8" x14ac:dyDescent="0.25">
      <c r="A45" s="40"/>
      <c r="B45" s="41"/>
      <c r="C45" s="37"/>
      <c r="D45" s="42"/>
      <c r="E45" s="46"/>
      <c r="F45" s="38"/>
      <c r="G45" s="38"/>
      <c r="H45" s="39"/>
    </row>
    <row r="46" spans="1:8" x14ac:dyDescent="0.25">
      <c r="A46" s="40"/>
      <c r="B46" s="41"/>
      <c r="C46" s="37"/>
      <c r="D46" s="42"/>
      <c r="E46" s="46"/>
      <c r="F46" s="38"/>
      <c r="G46" s="38"/>
      <c r="H46" s="39"/>
    </row>
    <row r="47" spans="1:8" x14ac:dyDescent="0.25">
      <c r="A47" s="40"/>
      <c r="B47" s="41"/>
      <c r="C47" s="37"/>
      <c r="D47" s="42"/>
      <c r="E47" s="46"/>
      <c r="F47" s="38"/>
      <c r="G47" s="38"/>
      <c r="H47" s="39"/>
    </row>
    <row r="48" spans="1:8" x14ac:dyDescent="0.25">
      <c r="A48" s="40"/>
      <c r="B48" s="41"/>
      <c r="C48" s="37"/>
      <c r="D48" s="42"/>
      <c r="E48" s="46"/>
      <c r="F48" s="38"/>
      <c r="G48" s="38"/>
      <c r="H48" s="39"/>
    </row>
    <row r="49" spans="1:8" x14ac:dyDescent="0.25">
      <c r="A49" s="40"/>
      <c r="B49" s="41"/>
      <c r="C49" s="37"/>
      <c r="D49" s="42"/>
      <c r="E49" s="46"/>
      <c r="F49" s="38"/>
      <c r="G49" s="38"/>
      <c r="H49" s="39"/>
    </row>
    <row r="50" spans="1:8" x14ac:dyDescent="0.25">
      <c r="A50" s="40"/>
      <c r="B50" s="41"/>
      <c r="C50" s="37"/>
      <c r="D50" s="42"/>
      <c r="E50" s="46"/>
      <c r="F50" s="38"/>
      <c r="G50" s="38"/>
      <c r="H50" s="39"/>
    </row>
    <row r="51" spans="1:8" x14ac:dyDescent="0.25">
      <c r="A51" s="40"/>
      <c r="B51" s="41"/>
      <c r="C51" s="37"/>
      <c r="D51" s="42"/>
      <c r="E51" s="46"/>
      <c r="F51" s="38"/>
      <c r="G51" s="38"/>
      <c r="H51" s="39"/>
    </row>
    <row r="52" spans="1:8" x14ac:dyDescent="0.25">
      <c r="A52" s="40"/>
      <c r="B52" s="41"/>
      <c r="C52" s="37"/>
      <c r="D52" s="42"/>
      <c r="E52" s="46"/>
      <c r="F52" s="38"/>
      <c r="G52" s="38"/>
      <c r="H52" s="39"/>
    </row>
    <row r="53" spans="1:8" x14ac:dyDescent="0.25">
      <c r="A53" s="40"/>
      <c r="B53" s="41"/>
      <c r="C53" s="37"/>
      <c r="D53" s="42"/>
      <c r="E53" s="46"/>
      <c r="F53" s="38"/>
      <c r="G53" s="38"/>
      <c r="H53" s="39"/>
    </row>
    <row r="54" spans="1:8" x14ac:dyDescent="0.25">
      <c r="A54" s="40"/>
      <c r="B54" s="41"/>
      <c r="C54" s="37"/>
      <c r="D54" s="42"/>
      <c r="E54" s="46"/>
      <c r="F54" s="38"/>
      <c r="G54" s="38"/>
      <c r="H54" s="39"/>
    </row>
    <row r="55" spans="1:8" x14ac:dyDescent="0.25">
      <c r="A55" s="40"/>
      <c r="B55" s="41"/>
      <c r="C55" s="37"/>
      <c r="D55" s="42"/>
      <c r="E55" s="46"/>
      <c r="F55" s="38"/>
      <c r="G55" s="38"/>
      <c r="H55" s="39"/>
    </row>
    <row r="56" spans="1:8" x14ac:dyDescent="0.25">
      <c r="A56" s="40"/>
      <c r="B56" s="41"/>
      <c r="C56" s="37"/>
      <c r="D56" s="42"/>
      <c r="E56" s="46"/>
      <c r="F56" s="38"/>
      <c r="G56" s="38"/>
      <c r="H56" s="39"/>
    </row>
    <row r="57" spans="1:8" x14ac:dyDescent="0.25">
      <c r="A57" s="40"/>
      <c r="B57" s="41"/>
      <c r="C57" s="37"/>
      <c r="D57" s="42"/>
      <c r="E57" s="46"/>
      <c r="F57" s="38"/>
      <c r="G57" s="38"/>
      <c r="H57" s="39"/>
    </row>
    <row r="58" spans="1:8" ht="15.75" thickBot="1" x14ac:dyDescent="0.3">
      <c r="A58" s="30"/>
      <c r="B58" s="27"/>
      <c r="C58" s="28"/>
      <c r="D58" s="31"/>
      <c r="E58" s="47"/>
      <c r="F58" s="57"/>
      <c r="G58" s="57"/>
      <c r="H58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8"/>
  <sheetViews>
    <sheetView topLeftCell="A7" workbookViewId="0">
      <selection activeCell="C12" sqref="C11:C12"/>
    </sheetView>
  </sheetViews>
  <sheetFormatPr baseColWidth="10" defaultRowHeight="15" x14ac:dyDescent="0.25"/>
  <cols>
    <col min="1" max="1" width="7.5703125" customWidth="1"/>
    <col min="2" max="2" width="15.140625" style="22" customWidth="1"/>
    <col min="3" max="3" width="28.7109375" customWidth="1"/>
    <col min="4" max="4" width="16.85546875" customWidth="1"/>
    <col min="5" max="5" width="23.42578125" customWidth="1"/>
    <col min="6" max="7" width="11.7109375" style="21" customWidth="1"/>
  </cols>
  <sheetData>
    <row r="1" spans="1:8" ht="18.75" x14ac:dyDescent="0.3">
      <c r="A1" s="20" t="s">
        <v>250</v>
      </c>
      <c r="B1" s="58">
        <f ca="1">TODAY()</f>
        <v>46092</v>
      </c>
      <c r="D1" s="19"/>
      <c r="E1" s="19"/>
      <c r="F1" s="55"/>
    </row>
    <row r="2" spans="1:8" ht="18.75" x14ac:dyDescent="0.3">
      <c r="A2" s="19"/>
      <c r="B2" s="24"/>
      <c r="D2" s="19"/>
      <c r="E2" s="19"/>
      <c r="F2" s="55"/>
    </row>
    <row r="3" spans="1:8" ht="18.75" x14ac:dyDescent="0.3">
      <c r="A3" s="20" t="s">
        <v>251</v>
      </c>
      <c r="C3" s="25">
        <v>330</v>
      </c>
      <c r="D3" s="19"/>
      <c r="E3" s="19"/>
      <c r="F3" s="55"/>
    </row>
    <row r="4" spans="1:8" ht="18.75" x14ac:dyDescent="0.3">
      <c r="A4" s="19"/>
      <c r="B4" s="24"/>
      <c r="D4" s="19"/>
      <c r="E4" s="19"/>
      <c r="F4" s="55"/>
    </row>
    <row r="5" spans="1:8" ht="18.75" x14ac:dyDescent="0.3">
      <c r="A5" s="20" t="s">
        <v>256</v>
      </c>
      <c r="C5" s="26" t="str">
        <f>VLOOKUP(C3,'Liste salariés'!A3:G104,2,FALSE)</f>
        <v>AGUERRE Stéphane</v>
      </c>
      <c r="D5" s="19"/>
      <c r="E5" s="19"/>
      <c r="F5" s="55"/>
    </row>
    <row r="6" spans="1:8" ht="39.75" customHeight="1" x14ac:dyDescent="0.3">
      <c r="A6" s="20" t="s">
        <v>252</v>
      </c>
      <c r="C6" s="23">
        <f>VLOOKUP(C3,'Liste salariés'!A3:J103,6,FALSE)</f>
        <v>25788</v>
      </c>
      <c r="D6" s="20" t="s">
        <v>253</v>
      </c>
      <c r="E6" s="49">
        <f ca="1">(B1-C6)/365</f>
        <v>55.627397260273973</v>
      </c>
      <c r="F6" s="48"/>
    </row>
    <row r="7" spans="1:8" ht="26.25" customHeight="1" x14ac:dyDescent="0.3">
      <c r="A7" s="20" t="s">
        <v>254</v>
      </c>
      <c r="C7" s="23">
        <f>VLOOKUP(C3,'Liste salariés'!A3:J105,3,FALSE)</f>
        <v>41666</v>
      </c>
      <c r="D7" s="20" t="s">
        <v>255</v>
      </c>
      <c r="E7" s="49">
        <f ca="1">(B1-C7)/365</f>
        <v>12.126027397260273</v>
      </c>
      <c r="F7" s="48"/>
    </row>
    <row r="8" spans="1:8" x14ac:dyDescent="0.25">
      <c r="B8"/>
    </row>
    <row r="9" spans="1:8" x14ac:dyDescent="0.25">
      <c r="B9"/>
    </row>
    <row r="10" spans="1:8" ht="18.75" x14ac:dyDescent="0.3">
      <c r="A10" s="20" t="s">
        <v>257</v>
      </c>
      <c r="B10"/>
    </row>
    <row r="11" spans="1:8" ht="15.75" thickBot="1" x14ac:dyDescent="0.3"/>
    <row r="12" spans="1:8" ht="38.25" customHeight="1" thickBot="1" x14ac:dyDescent="0.3">
      <c r="A12" s="53" t="s">
        <v>226</v>
      </c>
      <c r="B12" s="61" t="s">
        <v>258</v>
      </c>
      <c r="C12" s="50"/>
      <c r="D12" s="50"/>
      <c r="E12" s="51" t="s">
        <v>261</v>
      </c>
      <c r="F12" s="54" t="s">
        <v>227</v>
      </c>
      <c r="G12" s="54" t="s">
        <v>228</v>
      </c>
      <c r="H12" s="52" t="s">
        <v>260</v>
      </c>
    </row>
    <row r="13" spans="1:8" ht="20.100000000000001" customHeight="1" x14ac:dyDescent="0.25">
      <c r="A13" s="32">
        <v>1004</v>
      </c>
      <c r="B13" s="60" t="s">
        <v>206</v>
      </c>
      <c r="C13" s="33"/>
      <c r="D13" s="44"/>
      <c r="E13" s="45"/>
      <c r="F13" s="34"/>
      <c r="G13" s="34">
        <v>2014</v>
      </c>
      <c r="H13" s="35">
        <v>7</v>
      </c>
    </row>
    <row r="14" spans="1:8" ht="20.100000000000001" customHeight="1" x14ac:dyDescent="0.25">
      <c r="A14" s="36">
        <v>3025</v>
      </c>
      <c r="B14" s="59" t="s">
        <v>42</v>
      </c>
      <c r="C14" s="37"/>
      <c r="D14" s="42"/>
      <c r="E14" s="46"/>
      <c r="F14" s="38"/>
      <c r="G14" s="38">
        <v>2014</v>
      </c>
      <c r="H14" s="39">
        <v>151.66999999999999</v>
      </c>
    </row>
    <row r="15" spans="1:8" ht="20.100000000000001" customHeight="1" x14ac:dyDescent="0.25">
      <c r="A15" s="36">
        <v>3041</v>
      </c>
      <c r="B15" s="59" t="s">
        <v>36</v>
      </c>
      <c r="C15" s="37"/>
      <c r="D15" s="42"/>
      <c r="E15" s="46"/>
      <c r="F15" s="38"/>
      <c r="G15" s="38">
        <v>2014</v>
      </c>
      <c r="H15" s="39">
        <v>151.66999999999999</v>
      </c>
    </row>
    <row r="16" spans="1:8" ht="20.100000000000001" customHeight="1" x14ac:dyDescent="0.25">
      <c r="A16" s="36">
        <v>3025</v>
      </c>
      <c r="B16" s="59" t="s">
        <v>42</v>
      </c>
      <c r="C16" s="37"/>
      <c r="D16" s="42"/>
      <c r="E16" s="46"/>
      <c r="F16" s="38"/>
      <c r="G16" s="38">
        <v>2016</v>
      </c>
      <c r="H16" s="39">
        <v>151.66999999999999</v>
      </c>
    </row>
    <row r="17" spans="1:8" ht="20.100000000000001" customHeight="1" x14ac:dyDescent="0.25">
      <c r="A17" s="36">
        <v>3041</v>
      </c>
      <c r="B17" s="59" t="s">
        <v>36</v>
      </c>
      <c r="C17" s="37"/>
      <c r="D17" s="42"/>
      <c r="E17" s="46"/>
      <c r="F17" s="38"/>
      <c r="G17" s="38">
        <v>2016</v>
      </c>
      <c r="H17" s="39">
        <v>151.66999999999999</v>
      </c>
    </row>
    <row r="18" spans="1:8" ht="20.100000000000001" customHeight="1" x14ac:dyDescent="0.25">
      <c r="A18" s="36">
        <v>2007</v>
      </c>
      <c r="B18" s="59" t="s">
        <v>245</v>
      </c>
      <c r="C18" s="37"/>
      <c r="D18" s="42"/>
      <c r="E18" s="46"/>
      <c r="F18" s="38"/>
      <c r="G18" s="38">
        <v>2017</v>
      </c>
      <c r="H18" s="39">
        <v>2</v>
      </c>
    </row>
    <row r="19" spans="1:8" ht="20.100000000000001" customHeight="1" x14ac:dyDescent="0.25">
      <c r="A19" s="36">
        <v>1020</v>
      </c>
      <c r="B19" s="59" t="s">
        <v>202</v>
      </c>
      <c r="C19" s="37"/>
      <c r="D19" s="42"/>
      <c r="E19" s="46"/>
      <c r="F19" s="38"/>
      <c r="G19" s="38">
        <v>2018</v>
      </c>
      <c r="H19" s="39">
        <v>3.5</v>
      </c>
    </row>
    <row r="20" spans="1:8" ht="20.100000000000001" customHeight="1" x14ac:dyDescent="0.25">
      <c r="A20" s="36">
        <v>3010</v>
      </c>
      <c r="B20" s="59" t="s">
        <v>35</v>
      </c>
      <c r="C20" s="37"/>
      <c r="D20" s="42"/>
      <c r="E20" s="46"/>
      <c r="F20" s="38"/>
      <c r="G20" s="38">
        <v>2018</v>
      </c>
      <c r="H20" s="39">
        <v>151.66999999999999</v>
      </c>
    </row>
    <row r="21" spans="1:8" ht="20.100000000000001" customHeight="1" x14ac:dyDescent="0.25">
      <c r="A21" s="36">
        <v>3025</v>
      </c>
      <c r="B21" s="59" t="s">
        <v>42</v>
      </c>
      <c r="C21" s="37"/>
      <c r="D21" s="42"/>
      <c r="E21" s="46"/>
      <c r="F21" s="38"/>
      <c r="G21" s="38">
        <v>2018</v>
      </c>
      <c r="H21" s="39">
        <v>151.66999999999999</v>
      </c>
    </row>
    <row r="22" spans="1:8" ht="20.100000000000001" customHeight="1" x14ac:dyDescent="0.25">
      <c r="A22" s="36">
        <v>3041</v>
      </c>
      <c r="B22" s="59" t="s">
        <v>36</v>
      </c>
      <c r="C22" s="37"/>
      <c r="D22" s="42"/>
      <c r="E22" s="46"/>
      <c r="F22" s="38"/>
      <c r="G22" s="38">
        <v>2018</v>
      </c>
      <c r="H22" s="39">
        <v>151.66999999999999</v>
      </c>
    </row>
    <row r="23" spans="1:8" ht="20.100000000000001" customHeight="1" x14ac:dyDescent="0.25">
      <c r="A23" s="36">
        <v>1004</v>
      </c>
      <c r="B23" s="59" t="s">
        <v>206</v>
      </c>
      <c r="C23" s="37"/>
      <c r="D23" s="42"/>
      <c r="E23" s="46"/>
      <c r="F23" s="38"/>
      <c r="G23" s="38">
        <v>2019</v>
      </c>
      <c r="H23" s="39">
        <v>7</v>
      </c>
    </row>
    <row r="24" spans="1:8" ht="20.100000000000001" customHeight="1" x14ac:dyDescent="0.25">
      <c r="A24" s="36">
        <v>3014</v>
      </c>
      <c r="B24" s="59" t="s">
        <v>47</v>
      </c>
      <c r="C24" s="37"/>
      <c r="D24" s="42"/>
      <c r="E24" s="46"/>
      <c r="F24" s="38"/>
      <c r="G24" s="38">
        <v>2021</v>
      </c>
      <c r="H24" s="39">
        <v>151.66999999999999</v>
      </c>
    </row>
    <row r="25" spans="1:8" ht="20.100000000000001" customHeight="1" x14ac:dyDescent="0.25">
      <c r="A25" s="36">
        <v>3018</v>
      </c>
      <c r="B25" s="59" t="s">
        <v>37</v>
      </c>
      <c r="C25" s="37"/>
      <c r="D25" s="42"/>
      <c r="E25" s="46"/>
      <c r="F25" s="38"/>
      <c r="G25" s="38">
        <v>2021</v>
      </c>
      <c r="H25" s="39">
        <v>151.66999999999999</v>
      </c>
    </row>
    <row r="26" spans="1:8" ht="20.100000000000001" customHeight="1" x14ac:dyDescent="0.25">
      <c r="A26" s="36">
        <v>3006</v>
      </c>
      <c r="B26" s="59" t="s">
        <v>25</v>
      </c>
      <c r="C26" s="37"/>
      <c r="D26" s="42"/>
      <c r="E26" s="46"/>
      <c r="F26" s="38"/>
      <c r="G26" s="38">
        <v>2022</v>
      </c>
      <c r="H26" s="39">
        <v>151.66999999999999</v>
      </c>
    </row>
    <row r="27" spans="1:8" ht="20.100000000000001" customHeight="1" x14ac:dyDescent="0.25">
      <c r="A27" s="36">
        <v>3005</v>
      </c>
      <c r="B27" s="59" t="s">
        <v>31</v>
      </c>
      <c r="C27" s="37"/>
      <c r="D27" s="42"/>
      <c r="E27" s="46"/>
      <c r="F27" s="38"/>
      <c r="G27" s="38">
        <v>2024</v>
      </c>
      <c r="H27" s="39">
        <v>12</v>
      </c>
    </row>
    <row r="28" spans="1:8" ht="20.100000000000001" customHeight="1" x14ac:dyDescent="0.25">
      <c r="A28" s="36">
        <v>1004</v>
      </c>
      <c r="B28" s="59" t="s">
        <v>206</v>
      </c>
      <c r="C28" s="37"/>
      <c r="D28" s="42"/>
      <c r="E28" s="46"/>
      <c r="F28" s="38"/>
      <c r="G28" s="38">
        <v>2024</v>
      </c>
      <c r="H28" s="39">
        <v>7</v>
      </c>
    </row>
    <row r="29" spans="1:8" ht="20.100000000000001" customHeight="1" x14ac:dyDescent="0.25">
      <c r="A29" s="36">
        <v>1020</v>
      </c>
      <c r="B29" s="59" t="s">
        <v>202</v>
      </c>
      <c r="C29" s="37"/>
      <c r="D29" s="42"/>
      <c r="E29" s="46"/>
      <c r="F29" s="38"/>
      <c r="G29" s="38">
        <v>2024</v>
      </c>
      <c r="H29" s="39">
        <v>3.5</v>
      </c>
    </row>
    <row r="30" spans="1:8" ht="20.100000000000001" customHeight="1" x14ac:dyDescent="0.25">
      <c r="A30" s="36">
        <v>3037</v>
      </c>
      <c r="B30" s="59" t="s">
        <v>29</v>
      </c>
      <c r="C30" s="37"/>
      <c r="D30" s="42"/>
      <c r="E30" s="46"/>
      <c r="F30" s="38"/>
      <c r="G30" s="38">
        <v>2025</v>
      </c>
      <c r="H30" s="39">
        <v>35</v>
      </c>
    </row>
    <row r="31" spans="1:8" ht="20.100000000000001" customHeight="1" x14ac:dyDescent="0.25">
      <c r="A31" s="36"/>
      <c r="B31" s="59"/>
      <c r="C31" s="37"/>
      <c r="D31" s="42"/>
      <c r="E31" s="46"/>
      <c r="F31" s="38"/>
      <c r="G31" s="38"/>
      <c r="H31" s="39"/>
    </row>
    <row r="32" spans="1:8" ht="20.100000000000001" customHeight="1" x14ac:dyDescent="0.25">
      <c r="A32" s="36"/>
      <c r="B32" s="59"/>
      <c r="C32" s="37"/>
      <c r="D32" s="42"/>
      <c r="E32" s="46"/>
      <c r="F32" s="38"/>
      <c r="G32" s="38"/>
      <c r="H32" s="39"/>
    </row>
    <row r="33" spans="1:8" ht="20.100000000000001" customHeight="1" x14ac:dyDescent="0.25">
      <c r="A33" s="36"/>
      <c r="B33" s="37"/>
      <c r="C33" s="37"/>
      <c r="D33" s="42"/>
      <c r="E33" s="46"/>
      <c r="F33" s="38"/>
      <c r="G33" s="38"/>
      <c r="H33" s="39"/>
    </row>
    <row r="34" spans="1:8" ht="20.100000000000001" customHeight="1" x14ac:dyDescent="0.25">
      <c r="A34" s="36"/>
      <c r="B34" s="37"/>
      <c r="C34" s="37"/>
      <c r="D34" s="42"/>
      <c r="E34" s="46"/>
      <c r="F34" s="38"/>
      <c r="G34" s="38"/>
      <c r="H34" s="39"/>
    </row>
    <row r="35" spans="1:8" ht="20.100000000000001" customHeight="1" x14ac:dyDescent="0.25">
      <c r="A35" s="36"/>
      <c r="B35" s="37"/>
      <c r="C35" s="37"/>
      <c r="D35" s="42"/>
      <c r="E35" s="46"/>
      <c r="F35" s="38"/>
      <c r="G35" s="38"/>
      <c r="H35" s="39"/>
    </row>
    <row r="36" spans="1:8" ht="20.100000000000001" customHeight="1" x14ac:dyDescent="0.25">
      <c r="A36" s="36"/>
      <c r="B36" s="37"/>
      <c r="C36" s="37"/>
      <c r="D36" s="42"/>
      <c r="E36" s="46"/>
      <c r="F36" s="38"/>
      <c r="G36" s="38"/>
      <c r="H36" s="39"/>
    </row>
    <row r="37" spans="1:8" x14ac:dyDescent="0.25">
      <c r="A37" s="40"/>
      <c r="B37" s="41"/>
      <c r="C37" s="37"/>
      <c r="D37" s="42"/>
      <c r="E37" s="46"/>
      <c r="F37" s="38"/>
      <c r="G37" s="38"/>
      <c r="H37" s="39"/>
    </row>
    <row r="38" spans="1:8" x14ac:dyDescent="0.25">
      <c r="A38" s="40"/>
      <c r="B38" s="41"/>
      <c r="C38" s="37"/>
      <c r="D38" s="42"/>
      <c r="E38" s="46"/>
      <c r="F38" s="56"/>
      <c r="G38" s="38"/>
      <c r="H38" s="39"/>
    </row>
    <row r="39" spans="1:8" x14ac:dyDescent="0.25">
      <c r="A39" s="40"/>
      <c r="B39" s="41"/>
      <c r="C39" s="37"/>
      <c r="D39" s="42"/>
      <c r="E39" s="46"/>
      <c r="F39" s="38"/>
      <c r="G39" s="38"/>
      <c r="H39" s="39"/>
    </row>
    <row r="40" spans="1:8" x14ac:dyDescent="0.25">
      <c r="A40" s="40"/>
      <c r="B40" s="41"/>
      <c r="C40" s="37"/>
      <c r="D40" s="42"/>
      <c r="E40" s="46"/>
      <c r="F40" s="38"/>
      <c r="G40" s="38"/>
      <c r="H40" s="39"/>
    </row>
    <row r="41" spans="1:8" x14ac:dyDescent="0.25">
      <c r="A41" s="40"/>
      <c r="B41" s="41"/>
      <c r="C41" s="37"/>
      <c r="D41" s="42"/>
      <c r="E41" s="46"/>
      <c r="F41" s="38"/>
      <c r="G41" s="38"/>
      <c r="H41" s="39"/>
    </row>
    <row r="42" spans="1:8" x14ac:dyDescent="0.25">
      <c r="A42" s="40"/>
      <c r="B42" s="41"/>
      <c r="C42" s="37"/>
      <c r="D42" s="42"/>
      <c r="E42" s="46"/>
      <c r="F42" s="38"/>
      <c r="G42" s="38"/>
      <c r="H42" s="39"/>
    </row>
    <row r="43" spans="1:8" x14ac:dyDescent="0.25">
      <c r="A43" s="40"/>
      <c r="B43" s="41"/>
      <c r="C43" s="37"/>
      <c r="D43" s="42"/>
      <c r="E43" s="46"/>
      <c r="F43" s="38"/>
      <c r="G43" s="38"/>
      <c r="H43" s="39"/>
    </row>
    <row r="44" spans="1:8" x14ac:dyDescent="0.25">
      <c r="A44" s="40"/>
      <c r="B44" s="41"/>
      <c r="C44" s="37"/>
      <c r="D44" s="42"/>
      <c r="E44" s="46"/>
      <c r="F44" s="38"/>
      <c r="G44" s="38"/>
      <c r="H44" s="39"/>
    </row>
    <row r="45" spans="1:8" x14ac:dyDescent="0.25">
      <c r="A45" s="40"/>
      <c r="B45" s="41"/>
      <c r="C45" s="37"/>
      <c r="D45" s="42"/>
      <c r="E45" s="46"/>
      <c r="F45" s="38"/>
      <c r="G45" s="38"/>
      <c r="H45" s="39"/>
    </row>
    <row r="46" spans="1:8" x14ac:dyDescent="0.25">
      <c r="A46" s="40"/>
      <c r="B46" s="41"/>
      <c r="C46" s="37"/>
      <c r="D46" s="42"/>
      <c r="E46" s="46"/>
      <c r="F46" s="38"/>
      <c r="G46" s="38"/>
      <c r="H46" s="39"/>
    </row>
    <row r="47" spans="1:8" x14ac:dyDescent="0.25">
      <c r="A47" s="40"/>
      <c r="B47" s="41"/>
      <c r="C47" s="37"/>
      <c r="D47" s="42"/>
      <c r="E47" s="46"/>
      <c r="F47" s="38"/>
      <c r="G47" s="38"/>
      <c r="H47" s="39"/>
    </row>
    <row r="48" spans="1:8" x14ac:dyDescent="0.25">
      <c r="A48" s="40"/>
      <c r="B48" s="41"/>
      <c r="C48" s="37"/>
      <c r="D48" s="42"/>
      <c r="E48" s="46"/>
      <c r="F48" s="38"/>
      <c r="G48" s="38"/>
      <c r="H48" s="39"/>
    </row>
    <row r="49" spans="1:8" x14ac:dyDescent="0.25">
      <c r="A49" s="40"/>
      <c r="B49" s="41"/>
      <c r="C49" s="37"/>
      <c r="D49" s="42"/>
      <c r="E49" s="46"/>
      <c r="F49" s="38"/>
      <c r="G49" s="38"/>
      <c r="H49" s="39"/>
    </row>
    <row r="50" spans="1:8" x14ac:dyDescent="0.25">
      <c r="A50" s="40"/>
      <c r="B50" s="41"/>
      <c r="C50" s="37"/>
      <c r="D50" s="42"/>
      <c r="E50" s="46"/>
      <c r="F50" s="38"/>
      <c r="G50" s="38"/>
      <c r="H50" s="39"/>
    </row>
    <row r="51" spans="1:8" x14ac:dyDescent="0.25">
      <c r="A51" s="40"/>
      <c r="B51" s="41"/>
      <c r="C51" s="37"/>
      <c r="D51" s="42"/>
      <c r="E51" s="46"/>
      <c r="F51" s="38"/>
      <c r="G51" s="38"/>
      <c r="H51" s="39"/>
    </row>
    <row r="52" spans="1:8" x14ac:dyDescent="0.25">
      <c r="A52" s="40"/>
      <c r="B52" s="41"/>
      <c r="C52" s="37"/>
      <c r="D52" s="42"/>
      <c r="E52" s="46"/>
      <c r="F52" s="38"/>
      <c r="G52" s="38"/>
      <c r="H52" s="39"/>
    </row>
    <row r="53" spans="1:8" x14ac:dyDescent="0.25">
      <c r="A53" s="40"/>
      <c r="B53" s="41"/>
      <c r="C53" s="37"/>
      <c r="D53" s="42"/>
      <c r="E53" s="46"/>
      <c r="F53" s="38"/>
      <c r="G53" s="38"/>
      <c r="H53" s="39"/>
    </row>
    <row r="54" spans="1:8" x14ac:dyDescent="0.25">
      <c r="A54" s="40"/>
      <c r="B54" s="41"/>
      <c r="C54" s="37"/>
      <c r="D54" s="42"/>
      <c r="E54" s="46"/>
      <c r="F54" s="38"/>
      <c r="G54" s="38"/>
      <c r="H54" s="39"/>
    </row>
    <row r="55" spans="1:8" x14ac:dyDescent="0.25">
      <c r="A55" s="40"/>
      <c r="B55" s="41"/>
      <c r="C55" s="37"/>
      <c r="D55" s="42"/>
      <c r="E55" s="46"/>
      <c r="F55" s="38"/>
      <c r="G55" s="38"/>
      <c r="H55" s="39"/>
    </row>
    <row r="56" spans="1:8" x14ac:dyDescent="0.25">
      <c r="A56" s="40"/>
      <c r="B56" s="41"/>
      <c r="C56" s="37"/>
      <c r="D56" s="42"/>
      <c r="E56" s="46"/>
      <c r="F56" s="38"/>
      <c r="G56" s="38"/>
      <c r="H56" s="39"/>
    </row>
    <row r="57" spans="1:8" x14ac:dyDescent="0.25">
      <c r="A57" s="40"/>
      <c r="B57" s="41"/>
      <c r="C57" s="37"/>
      <c r="D57" s="42"/>
      <c r="E57" s="46"/>
      <c r="F57" s="38"/>
      <c r="G57" s="38"/>
      <c r="H57" s="39"/>
    </row>
    <row r="58" spans="1:8" ht="15.75" thickBot="1" x14ac:dyDescent="0.3">
      <c r="A58" s="30"/>
      <c r="B58" s="27"/>
      <c r="C58" s="28"/>
      <c r="D58" s="31"/>
      <c r="E58" s="47"/>
      <c r="F58" s="57"/>
      <c r="G58" s="57"/>
      <c r="H58" s="29"/>
    </row>
  </sheetData>
  <pageMargins left="0.39370078740157483" right="0.39370078740157483" top="0.39370078740157483" bottom="0.39370078740157483" header="0.31496062992125984" footer="0.31496062992125984"/>
  <pageSetup paperSize="9" scale="75" fitToHeight="2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36</vt:i4>
      </vt:variant>
      <vt:variant>
        <vt:lpstr>Plages nommées</vt:lpstr>
      </vt:variant>
      <vt:variant>
        <vt:i4>31</vt:i4>
      </vt:variant>
    </vt:vector>
  </HeadingPairs>
  <TitlesOfParts>
    <vt:vector size="67" baseType="lpstr">
      <vt:lpstr>Tables</vt:lpstr>
      <vt:lpstr>Liste salariés</vt:lpstr>
      <vt:lpstr>Liste Formations</vt:lpstr>
      <vt:lpstr>Formations effectuées</vt:lpstr>
      <vt:lpstr>Formulaire individuel</vt:lpstr>
      <vt:lpstr>TARDY</vt:lpstr>
      <vt:lpstr>CORREIA DOS SANTOS Jorge</vt:lpstr>
      <vt:lpstr>LORDON</vt:lpstr>
      <vt:lpstr>LEPOLARD B</vt:lpstr>
      <vt:lpstr>MENDRIBIL</vt:lpstr>
      <vt:lpstr>SIMON Th</vt:lpstr>
      <vt:lpstr>MARQUES</vt:lpstr>
      <vt:lpstr>PICOT</vt:lpstr>
      <vt:lpstr>BERCAITS</vt:lpstr>
      <vt:lpstr>DAVIES</vt:lpstr>
      <vt:lpstr>PEREZ</vt:lpstr>
      <vt:lpstr>BIDONDO M</vt:lpstr>
      <vt:lpstr>MILAGE</vt:lpstr>
      <vt:lpstr>CAZENAVE</vt:lpstr>
      <vt:lpstr>VERGE O</vt:lpstr>
      <vt:lpstr>MOUSTROUS</vt:lpstr>
      <vt:lpstr>VASSEUR</vt:lpstr>
      <vt:lpstr>COUCHINAVE E</vt:lpstr>
      <vt:lpstr>CAMPANE</vt:lpstr>
      <vt:lpstr>RICE</vt:lpstr>
      <vt:lpstr>GONOT</vt:lpstr>
      <vt:lpstr>JOUMAH </vt:lpstr>
      <vt:lpstr>BIDONDO P</vt:lpstr>
      <vt:lpstr>SARALEGUI </vt:lpstr>
      <vt:lpstr>BRANKAER</vt:lpstr>
      <vt:lpstr>BEHEREGARAY</vt:lpstr>
      <vt:lpstr>SICRE</vt:lpstr>
      <vt:lpstr>DELGADO</vt:lpstr>
      <vt:lpstr>CORDANI</vt:lpstr>
      <vt:lpstr>ETCHEVERRY F</vt:lpstr>
      <vt:lpstr>AGUERRE</vt:lpstr>
      <vt:lpstr>AGUERRE!Impression_des_titres</vt:lpstr>
      <vt:lpstr>BEHEREGARAY!Impression_des_titres</vt:lpstr>
      <vt:lpstr>BERCAITS!Impression_des_titres</vt:lpstr>
      <vt:lpstr>'BIDONDO M'!Impression_des_titres</vt:lpstr>
      <vt:lpstr>'BIDONDO P'!Impression_des_titres</vt:lpstr>
      <vt:lpstr>BRANKAER!Impression_des_titres</vt:lpstr>
      <vt:lpstr>CAMPANE!Impression_des_titres</vt:lpstr>
      <vt:lpstr>CAZENAVE!Impression_des_titres</vt:lpstr>
      <vt:lpstr>CORDANI!Impression_des_titres</vt:lpstr>
      <vt:lpstr>'CORREIA DOS SANTOS Jorge'!Impression_des_titres</vt:lpstr>
      <vt:lpstr>'COUCHINAVE E'!Impression_des_titres</vt:lpstr>
      <vt:lpstr>DAVIES!Impression_des_titres</vt:lpstr>
      <vt:lpstr>DELGADO!Impression_des_titres</vt:lpstr>
      <vt:lpstr>'ETCHEVERRY F'!Impression_des_titres</vt:lpstr>
      <vt:lpstr>GONOT!Impression_des_titres</vt:lpstr>
      <vt:lpstr>'LEPOLARD B'!Impression_des_titres</vt:lpstr>
      <vt:lpstr>LORDON!Impression_des_titres</vt:lpstr>
      <vt:lpstr>MARQUES!Impression_des_titres</vt:lpstr>
      <vt:lpstr>MENDRIBIL!Impression_des_titres</vt:lpstr>
      <vt:lpstr>MILAGE!Impression_des_titres</vt:lpstr>
      <vt:lpstr>MOUSTROUS!Impression_des_titres</vt:lpstr>
      <vt:lpstr>PEREZ!Impression_des_titres</vt:lpstr>
      <vt:lpstr>PICOT!Impression_des_titres</vt:lpstr>
      <vt:lpstr>RICE!Impression_des_titres</vt:lpstr>
      <vt:lpstr>'SARALEGUI '!Impression_des_titres</vt:lpstr>
      <vt:lpstr>SICRE!Impression_des_titres</vt:lpstr>
      <vt:lpstr>'SIMON Th'!Impression_des_titres</vt:lpstr>
      <vt:lpstr>TARDY!Impression_des_titres</vt:lpstr>
      <vt:lpstr>VASSEUR!Impression_des_titres</vt:lpstr>
      <vt:lpstr>'VERGE O'!Impression_des_titres</vt:lpstr>
      <vt:lpstr>'Formations effectuées'!Zone_d_impression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Marie-Claire GESSE</dc:creator>
  <cp:lastModifiedBy>Marie-Claire GESSE</cp:lastModifiedBy>
  <cp:lastPrinted>2026-03-04T14:07:05Z</cp:lastPrinted>
  <dcterms:created xsi:type="dcterms:W3CDTF">2024-09-12T11:51:51Z</dcterms:created>
  <dcterms:modified xsi:type="dcterms:W3CDTF">2026-03-11T08:24:29Z</dcterms:modified>
</cp:coreProperties>
</file>